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firstSheet="3" activeTab="4"/>
  </bookViews>
  <sheets>
    <sheet name="Original_Data" sheetId="1" r:id="rId1"/>
    <sheet name="Cleaned_Data" sheetId="3" r:id="rId2"/>
    <sheet name="Dummy_Variables" sheetId="4" r:id="rId3"/>
    <sheet name="Simple_regression_1" sheetId="5" r:id="rId4"/>
    <sheet name="Simple_regression_2" sheetId="6" r:id="rId5"/>
    <sheet name="Multiple Regression" sheetId="8" r:id="rId6"/>
    <sheet name="Prediction and residual calcula" sheetId="7" r:id="rId7"/>
    <sheet name="model comparison " sheetId="9" r:id="rId8"/>
    <sheet name="data_dictionary" sheetId="2" r:id="rId9"/>
  </sheets>
  <definedNames>
    <definedName name="_xlnm._FilterDatabase" localSheetId="1" hidden="1">Cleaned_Data!$A$1:$N$322</definedName>
    <definedName name="_xlnm._FilterDatabase" localSheetId="2" hidden="1">Dummy_Variables!$A$1:$R$321</definedName>
    <definedName name="_xlnm._FilterDatabase" localSheetId="6" hidden="1">'Prediction and residual calcula'!$A$2:$E$2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<sst xmlns="http://schemas.openxmlformats.org/spreadsheetml/2006/main" count="3468" uniqueCount="219">
  <si>
    <t>Regression-Based Business Insights &amp; Model Interpretation</t>
  </si>
  <si>
    <t>Original Dataset | Source of Truth</t>
  </si>
  <si>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</si>
  <si>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</si>
  <si>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</si>
  <si>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</si>
  <si>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</si>
  <si>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</si>
  <si>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</si>
  <si>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</si>
  <si>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</si>
  <si>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</si>
  <si>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</si>
  <si>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</si>
  <si>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</si>
  <si>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</si>
  <si>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</si>
  <si>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</si>
  <si>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</si>
  <si>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</si>
  <si>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</si>
  <si>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</si>
  <si>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</si>
  <si>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</si>
  <si>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</si>
  <si>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</si>
  <si>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</si>
  <si>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</si>
  <si>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</si>
  <si>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</si>
  <si>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</si>
  <si>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</si>
  <si>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</si>
  <si>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</si>
  <si>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</si>
  <si>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</si>
  <si>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</si>
  <si>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</si>
  <si>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</si>
  <si>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</si>
  <si>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</si>
  <si>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</si>
  <si>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</si>
  <si>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</si>
  <si>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</si>
  <si>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</si>
  <si>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</si>
  <si>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</si>
  <si>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</si>
  <si>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</si>
  <si>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</si>
  <si>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</si>
  <si>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</si>
  <si>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</si>
  <si>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</si>
  <si>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</si>
  <si>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</si>
  <si>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</si>
  <si>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</si>
  <si>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</si>
  <si>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</si>
  <si>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</si>
  <si>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</si>
  <si>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</si>
  <si>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</si>
  <si>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</si>
  <si>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</si>
  <si>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</si>
  <si>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</si>
  <si>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</si>
  <si>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</si>
  <si>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</si>
  <si>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</si>
  <si>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</si>
  <si>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</si>
  <si>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</si>
  <si>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</si>
  <si>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</si>
  <si>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</si>
  <si>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</si>
  <si>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</si>
  <si>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</si>
  <si>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</si>
  <si>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</si>
  <si>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</si>
  <si>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</si>
  <si>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</si>
  <si>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</si>
  <si>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</si>
  <si>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</si>
  <si>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</si>
  <si>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</si>
  <si>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</si>
  <si>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</si>
  <si>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</si>
  <si>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</si>
  <si>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</si>
  <si>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</si>
  <si>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</si>
  <si>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</si>
  <si>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</si>
  <si>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</si>
  <si>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</si>
  <si>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</si>
  <si>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Data Preparation &amp; Validation | Regression Ready Dataset</t>
  </si>
  <si>
    <t>Validation Check</t>
  </si>
  <si>
    <t>Result</t>
  </si>
  <si>
    <t>Missing Values</t>
  </si>
  <si>
    <t>0</t>
  </si>
  <si>
    <t>Duplicate Store IDs</t>
  </si>
  <si>
    <t>Invalid Numeric Values</t>
  </si>
  <si>
    <t>None Found</t>
  </si>
  <si>
    <t>Missing Target Variable</t>
  </si>
  <si>
    <t>Dataset Status</t>
  </si>
  <si>
    <t>READY FOR REGRESSION</t>
  </si>
  <si>
    <t>Dummy Variable Creation &amp; Feature Engineering</t>
  </si>
  <si>
    <t>Purpose</t>
  </si>
  <si>
    <t>Convert categorical variables into regression-ready numeric variables</t>
  </si>
  <si>
    <t>Reference Region</t>
  </si>
  <si>
    <t>Reference Store Type</t>
  </si>
  <si>
    <t>Dummy Variables</t>
  </si>
  <si>
    <t>North, South, West, High_Street, Mall, Residential</t>
  </si>
  <si>
    <t>Reason</t>
  </si>
  <si>
    <t>Reference category excluded to avoid dummy variable trap</t>
  </si>
  <si>
    <t>North_dummy</t>
  </si>
  <si>
    <t>South_dummy</t>
  </si>
  <si>
    <t>West_dummy</t>
  </si>
  <si>
    <t>HighStreet_Dummy</t>
  </si>
  <si>
    <t>Mall_Dummy</t>
  </si>
  <si>
    <t>Residential_Dummy</t>
  </si>
  <si>
    <t>Predicted sales</t>
  </si>
  <si>
    <t>Residuals</t>
  </si>
  <si>
    <t>Simple Regression Model 1 | Monthly Sales vs Marketing Spend</t>
  </si>
  <si>
    <t>R²</t>
  </si>
  <si>
    <t>Coefficient</t>
  </si>
  <si>
    <t>P-value</t>
  </si>
  <si>
    <t>&lt;0.001</t>
  </si>
  <si>
    <t>Business Interpretation: Evaluate whether marketing spend has a statistically significant positive association with monthly sales using the regression output below.</t>
  </si>
  <si>
    <t>SUMMARY OUTPUT</t>
  </si>
  <si>
    <t>Simple Regression Model 1 :Monthly_sales ~ marketing_spend</t>
  </si>
  <si>
    <t>Value</t>
  </si>
  <si>
    <t>Interpretation</t>
  </si>
  <si>
    <t>Regression Equation</t>
  </si>
  <si>
    <t>Monthly Sales = 560777.35 + 2.13(Marketing Spend)</t>
  </si>
  <si>
    <t>Marketing spend shows a positive association with monthly sales.</t>
  </si>
  <si>
    <t>Regression Statistics</t>
  </si>
  <si>
    <t>The model explains only 16.7% of sales variation (R² = 0.167), suggesting that other factors also influence sales performance.</t>
  </si>
  <si>
    <t>Multiple R</t>
  </si>
  <si>
    <t>The coefficient of 2.13 indicates that every additional ₹1 spent on marketing is associated with approximately ₹2.13 higher monthly sales.</t>
  </si>
  <si>
    <t>R Square</t>
  </si>
  <si>
    <t>2.48E-14 ( p-value&lt; 0.001)</t>
  </si>
  <si>
    <t>The variable is statistically significant (p-value &lt; 0.001), indicating a meaningful relationship.</t>
  </si>
  <si>
    <t>Adjusted R Square</t>
  </si>
  <si>
    <t>Final Conclusion:</t>
  </si>
  <si>
    <t>Marketing spend has a statistically significant positive relationship with monthly sales, but it explains only 16.7% of sales variation. Therefore, marketing spend is useful but not a strong standalone predictor of sales.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</si>
  <si>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</si>
  <si>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</si>
  <si>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</si>
  <si>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</si>
  <si>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</si>
  <si>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</si>
  <si>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</si>
  <si>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</si>
  <si>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</si>
  <si>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</si>
  <si>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</si>
  <si>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</si>
  <si>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</si>
  <si>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Lower 95%</t>
  </si>
  <si>
    <t>Upper 95%</t>
  </si>
  <si>
    <t>Lower 95.0%</t>
  </si>
  <si>
    <t>Upper 95.0%</t>
  </si>
  <si>
    <t>Intercept</t>
  </si>
  <si>
    <t>Simple Regression Model 2 : Monthly Sales vs Footfall</t>
  </si>
  <si>
    <t>Monthly Sales = 446410.58 + 35.68(Footfall)</t>
  </si>
  <si>
    <t>73.6% variation in monthly sales is explained by footfall, which shows Footfall has a strong positive relationship with monthly sales.</t>
  </si>
  <si>
    <t>For every additional customer visit, monthly sales increase by approximately ₹35.68.</t>
  </si>
  <si>
    <t>Footfall is statistically significant, beacause P-value &lt; 0.001</t>
  </si>
  <si>
    <t>Conclusion:</t>
  </si>
  <si>
    <t>Footfall is a strong predictor of monthly sales and should be included in the final model.</t>
  </si>
  <si>
    <t>Multiple Regression Model | Executive Interpretation</t>
  </si>
  <si>
    <t>Adjusted R²</t>
  </si>
  <si>
    <t>Business Decision</t>
  </si>
  <si>
    <t>Recommended final model due to highest explanatory power (R² = 0.827) and statistically significant predictors.</t>
  </si>
  <si>
    <t>Predictions &amp; Residual Analysis</t>
  </si>
  <si>
    <t>Prediction and Residual calculation</t>
  </si>
  <si>
    <t>Actual _monthly_sales</t>
  </si>
  <si>
    <t>Absolute Residual</t>
  </si>
  <si>
    <t>Model Comparison | Executive Evaluation</t>
  </si>
  <si>
    <t>Recommendation: Select the model with the highest explanatory power and statistically significant predictors for business decision-making.</t>
  </si>
  <si>
    <t>Model Comparison</t>
  </si>
  <si>
    <t>Model</t>
  </si>
  <si>
    <t>Variables</t>
  </si>
  <si>
    <t>Significant Variables</t>
  </si>
  <si>
    <t>Simple Regression Model 1</t>
  </si>
  <si>
    <t>Marketing Spend</t>
  </si>
  <si>
    <t>Simple Regression Model 2</t>
  </si>
  <si>
    <t>Footfall</t>
  </si>
  <si>
    <t>Multiple Regression</t>
  </si>
  <si>
    <t>Marketing Spend,
Footfall,
Inventory Availability,
Store Type Dummies</t>
  </si>
  <si>
    <t>Marketing Spend,
Footfall,
Inventory Availability</t>
  </si>
  <si>
    <t>Item</t>
  </si>
  <si>
    <t>Selected Final Model</t>
  </si>
  <si>
    <t>Column</t>
  </si>
  <si>
    <t>Description</t>
  </si>
  <si>
    <t>Unique identifier assigned to each retail store.</t>
  </si>
  <si>
    <t>Reporting month for which store performance metrics were recorded.</t>
  </si>
  <si>
    <t>Geographic region where the store operates (categorical variable).</t>
  </si>
  <si>
    <t>Store format (Mall, High Street, Residential, or Airport). Used as a categorical predictor and converted into dummy variables for regression analysis.</t>
  </si>
  <si>
    <t>Total monthly marketing expenditure for the store (independent variable).</t>
  </si>
  <si>
    <t>Total number of customer visits recorded during the reporting month (independent variable).</t>
  </si>
  <si>
    <t>Average percentage discount offered across products during the month (independent variable).</t>
  </si>
  <si>
    <t>Total number of employees assigned to the store during the reporting month (independent variable).</t>
  </si>
  <si>
    <t>Average percentage of products available for sale during the month (independent variable).</t>
  </si>
  <si>
    <t>Distance (in kilometers) from the store to the nearest competitor location (independent variable).</t>
  </si>
  <si>
    <r>
      <rPr>
        <sz val="11"/>
        <rFont val="Carlito"/>
        <charset val="134"/>
      </rPr>
      <t xml:space="preserve">Binary indicator where </t>
    </r>
    <r>
      <rPr>
        <b/>
        <sz val="11"/>
        <rFont val="Carlito"/>
        <charset val="134"/>
      </rPr>
      <t>1 = holiday period</t>
    </r>
    <r>
      <rPr>
        <sz val="11"/>
        <rFont val="Carlito"/>
        <charset val="134"/>
      </rPr>
      <t xml:space="preserve"> and </t>
    </r>
    <r>
      <rPr>
        <b/>
        <sz val="11"/>
        <rFont val="Carlito"/>
        <charset val="134"/>
      </rPr>
      <t>0 = non-holiday period</t>
    </r>
    <r>
      <rPr>
        <sz val="11"/>
        <rFont val="Carlito"/>
        <charset val="134"/>
      </rPr>
      <t>. Used to capture seasonal business effects.</t>
    </r>
  </si>
  <si>
    <t>Average customer satisfaction rating collected during the reporting month (independent variable).</t>
  </si>
  <si>
    <r>
      <rPr>
        <b/>
        <sz val="11"/>
        <rFont val="Carlito"/>
        <charset val="134"/>
      </rPr>
      <t>Dependent variable</t>
    </r>
    <r>
      <rPr>
        <sz val="11"/>
        <rFont val="Carlito"/>
        <charset val="134"/>
      </rPr>
      <t xml:space="preserve"> representing total monthly sales revenue used in the regression models.</t>
    </r>
  </si>
  <si>
    <t>Total monthly profit generated by the store. Used as an additional business performance metric but not selected as the primary dependent variable.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</si>
</sst>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0E+00"/>
    <numFmt numFmtId="179" formatCode="yyyy\-mm"/>
  </numFmts>
  <fonts count="36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sz val="11"/>
      <name val="Calibri"/>
      <charset val="134"/>
      <scheme val="minor"/>
    </font>
    <font>
      <b/>
      <sz val="16"/>
      <color rgb="FFFFFFFF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b/>
      <sz val="16"/>
      <color rgb="FFFFFFFF"/>
      <name val="Carlito"/>
      <charset val="134"/>
    </font>
    <font>
      <b/>
      <sz val="11"/>
      <color theme="0"/>
      <name val="Carlito"/>
      <charset val="134"/>
    </font>
    <font>
      <b/>
      <i/>
      <sz val="11"/>
      <color theme="0"/>
      <name val="Carlito"/>
      <charset val="134"/>
    </font>
    <font>
      <sz val="11"/>
      <color theme="0"/>
      <name val="Carlito"/>
      <charset val="134"/>
    </font>
    <font>
      <i/>
      <sz val="11"/>
      <color theme="0"/>
      <name val="Carlito"/>
      <charset val="134"/>
    </font>
    <font>
      <b/>
      <sz val="15"/>
      <color rgb="FFFFFFFF"/>
      <name val="Carlito"/>
      <charset val="134"/>
    </font>
    <font>
      <b/>
      <sz val="12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B5E2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365F9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1" borderId="49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50" applyNumberFormat="0" applyFill="0" applyAlignment="0" applyProtection="0">
      <alignment vertical="center"/>
    </xf>
    <xf numFmtId="0" fontId="23" fillId="0" borderId="50" applyNumberFormat="0" applyFill="0" applyAlignment="0" applyProtection="0">
      <alignment vertical="center"/>
    </xf>
    <xf numFmtId="0" fontId="24" fillId="0" borderId="51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2" borderId="52" applyNumberFormat="0" applyAlignment="0" applyProtection="0">
      <alignment vertical="center"/>
    </xf>
    <xf numFmtId="0" fontId="26" fillId="13" borderId="53" applyNumberFormat="0" applyAlignment="0" applyProtection="0">
      <alignment vertical="center"/>
    </xf>
    <xf numFmtId="0" fontId="27" fillId="13" borderId="52" applyNumberFormat="0" applyAlignment="0" applyProtection="0">
      <alignment vertical="center"/>
    </xf>
    <xf numFmtId="0" fontId="28" fillId="14" borderId="54" applyNumberFormat="0" applyAlignment="0" applyProtection="0">
      <alignment vertical="center"/>
    </xf>
    <xf numFmtId="0" fontId="29" fillId="0" borderId="55" applyNumberFormat="0" applyFill="0" applyAlignment="0" applyProtection="0">
      <alignment vertical="center"/>
    </xf>
    <xf numFmtId="0" fontId="30" fillId="0" borderId="56" applyNumberFormat="0" applyFill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</cellStyleXfs>
  <cellXfs count="19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3" fillId="0" borderId="0" xfId="0" applyFont="1"/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left" vertical="center"/>
    </xf>
    <xf numFmtId="0" fontId="6" fillId="3" borderId="15" xfId="0" applyFont="1" applyFill="1" applyBorder="1" applyAlignment="1">
      <alignment horizontal="left" vertical="center"/>
    </xf>
    <xf numFmtId="0" fontId="6" fillId="3" borderId="16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 wrapText="1"/>
    </xf>
    <xf numFmtId="0" fontId="1" fillId="6" borderId="21" xfId="0" applyFont="1" applyFill="1" applyBorder="1" applyAlignment="1">
      <alignment horizontal="center" vertical="center" wrapText="1"/>
    </xf>
    <xf numFmtId="0" fontId="1" fillId="6" borderId="2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1" fillId="2" borderId="12" xfId="0" applyFont="1" applyFill="1" applyBorder="1"/>
    <xf numFmtId="0" fontId="0" fillId="0" borderId="13" xfId="0" applyBorder="1"/>
    <xf numFmtId="0" fontId="0" fillId="0" borderId="14" xfId="0" applyBorder="1"/>
    <xf numFmtId="0" fontId="1" fillId="2" borderId="27" xfId="0" applyFont="1" applyFill="1" applyBorder="1"/>
    <xf numFmtId="0" fontId="0" fillId="0" borderId="28" xfId="0" applyBorder="1" applyAlignment="1">
      <alignment horizontal="left" vertical="center"/>
    </xf>
    <xf numFmtId="0" fontId="1" fillId="2" borderId="5" xfId="0" applyFont="1" applyFill="1" applyBorder="1"/>
    <xf numFmtId="0" fontId="0" fillId="0" borderId="6" xfId="0" applyBorder="1" applyAlignment="1">
      <alignment horizontal="left" vertical="center"/>
    </xf>
    <xf numFmtId="0" fontId="10" fillId="7" borderId="7" xfId="0" applyFont="1" applyFill="1" applyBorder="1" applyAlignment="1">
      <alignment horizontal="center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horizontal="center"/>
    </xf>
    <xf numFmtId="0" fontId="11" fillId="7" borderId="27" xfId="0" applyFont="1" applyFill="1" applyBorder="1" applyAlignment="1">
      <alignment horizontal="center"/>
    </xf>
    <xf numFmtId="0" fontId="0" fillId="0" borderId="28" xfId="0" applyBorder="1"/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11" fillId="7" borderId="28" xfId="0" applyFont="1" applyFill="1" applyBorder="1" applyAlignment="1">
      <alignment horizontal="center"/>
    </xf>
    <xf numFmtId="0" fontId="11" fillId="7" borderId="3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2" xfId="0" applyBorder="1" applyAlignment="1">
      <alignment horizontal="center"/>
    </xf>
    <xf numFmtId="0" fontId="11" fillId="7" borderId="24" xfId="0" applyFont="1" applyFill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0" fillId="0" borderId="33" xfId="0" applyBorder="1" applyAlignment="1">
      <alignment horizontal="center"/>
    </xf>
    <xf numFmtId="11" fontId="0" fillId="0" borderId="0" xfId="0" applyNumberFormat="1" applyAlignment="1">
      <alignment horizontal="center"/>
    </xf>
    <xf numFmtId="0" fontId="2" fillId="0" borderId="20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wrapText="1"/>
    </xf>
    <xf numFmtId="0" fontId="9" fillId="2" borderId="1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 wrapText="1"/>
    </xf>
    <xf numFmtId="0" fontId="1" fillId="2" borderId="22" xfId="0" applyFont="1" applyFill="1" applyBorder="1" applyAlignment="1">
      <alignment horizontal="center" wrapText="1"/>
    </xf>
    <xf numFmtId="0" fontId="1" fillId="2" borderId="34" xfId="0" applyFont="1" applyFill="1" applyBorder="1"/>
    <xf numFmtId="0" fontId="0" fillId="0" borderId="35" xfId="0" applyBorder="1" applyAlignment="1">
      <alignment horizontal="left" vertical="center"/>
    </xf>
    <xf numFmtId="0" fontId="1" fillId="2" borderId="29" xfId="0" applyFont="1" applyFill="1" applyBorder="1"/>
    <xf numFmtId="0" fontId="0" fillId="0" borderId="30" xfId="0" applyBorder="1" applyAlignment="1">
      <alignment horizontal="left" vertical="center"/>
    </xf>
    <xf numFmtId="0" fontId="10" fillId="8" borderId="1" xfId="0" applyFont="1" applyFill="1" applyBorder="1" applyAlignment="1">
      <alignment horizontal="center" vertical="center"/>
    </xf>
    <xf numFmtId="0" fontId="0" fillId="0" borderId="2" xfId="0" applyBorder="1"/>
    <xf numFmtId="0" fontId="10" fillId="8" borderId="0" xfId="0" applyFont="1" applyFill="1" applyAlignment="1">
      <alignment horizontal="center" wrapText="1"/>
    </xf>
    <xf numFmtId="0" fontId="10" fillId="0" borderId="0" xfId="0" applyFont="1" applyAlignment="1">
      <alignment horizontal="center"/>
    </xf>
    <xf numFmtId="0" fontId="12" fillId="9" borderId="36" xfId="0" applyFont="1" applyFill="1" applyBorder="1" applyAlignment="1">
      <alignment horizontal="center"/>
    </xf>
    <xf numFmtId="0" fontId="12" fillId="9" borderId="37" xfId="0" applyFont="1" applyFill="1" applyBorder="1" applyAlignment="1">
      <alignment horizontal="center" wrapText="1"/>
    </xf>
    <xf numFmtId="0" fontId="10" fillId="9" borderId="38" xfId="0" applyFont="1" applyFill="1" applyBorder="1" applyAlignment="1">
      <alignment horizontal="center" wrapText="1"/>
    </xf>
    <xf numFmtId="0" fontId="2" fillId="4" borderId="39" xfId="0" applyFont="1" applyFill="1" applyBorder="1" applyAlignment="1">
      <alignment horizontal="center"/>
    </xf>
    <xf numFmtId="0" fontId="0" fillId="0" borderId="40" xfId="0" applyBorder="1" applyAlignment="1">
      <alignment horizontal="center" wrapText="1"/>
    </xf>
    <xf numFmtId="0" fontId="0" fillId="0" borderId="41" xfId="0" applyBorder="1" applyAlignment="1">
      <alignment horizontal="center" wrapText="1"/>
    </xf>
    <xf numFmtId="0" fontId="13" fillId="8" borderId="27" xfId="0" applyFont="1" applyFill="1" applyBorder="1" applyAlignment="1">
      <alignment horizontal="center"/>
    </xf>
    <xf numFmtId="0" fontId="13" fillId="8" borderId="28" xfId="0" applyFont="1" applyFill="1" applyBorder="1" applyAlignment="1">
      <alignment horizontal="center"/>
    </xf>
    <xf numFmtId="0" fontId="2" fillId="4" borderId="42" xfId="0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1" fontId="2" fillId="4" borderId="42" xfId="0" applyNumberFormat="1" applyFont="1" applyFill="1" applyBorder="1" applyAlignment="1">
      <alignment horizontal="center" vertical="center"/>
    </xf>
    <xf numFmtId="0" fontId="2" fillId="4" borderId="44" xfId="0" applyFont="1" applyFill="1" applyBorder="1" applyAlignment="1">
      <alignment horizontal="center" vertical="center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1" fillId="8" borderId="27" xfId="0" applyFont="1" applyFill="1" applyBorder="1" applyAlignment="1">
      <alignment horizontal="center"/>
    </xf>
    <xf numFmtId="0" fontId="11" fillId="8" borderId="28" xfId="0" applyFont="1" applyFill="1" applyBorder="1" applyAlignment="1">
      <alignment horizontal="center"/>
    </xf>
    <xf numFmtId="0" fontId="11" fillId="8" borderId="3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5" xfId="0" applyBorder="1" applyAlignment="1">
      <alignment horizontal="center"/>
    </xf>
    <xf numFmtId="0" fontId="11" fillId="8" borderId="24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9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2" fillId="8" borderId="1" xfId="0" applyFont="1" applyFill="1" applyBorder="1" applyAlignment="1">
      <alignment horizontal="center" vertical="center"/>
    </xf>
    <xf numFmtId="0" fontId="10" fillId="8" borderId="16" xfId="0" applyFont="1" applyFill="1" applyBorder="1" applyAlignment="1">
      <alignment horizontal="center" wrapText="1"/>
    </xf>
    <xf numFmtId="0" fontId="10" fillId="0" borderId="0" xfId="0" applyFont="1"/>
    <xf numFmtId="0" fontId="12" fillId="9" borderId="1" xfId="0" applyFont="1" applyFill="1" applyBorder="1" applyAlignment="1">
      <alignment horizontal="center"/>
    </xf>
    <xf numFmtId="0" fontId="12" fillId="9" borderId="1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wrapText="1"/>
    </xf>
    <xf numFmtId="0" fontId="11" fillId="8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" fillId="4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wrapText="1"/>
    </xf>
    <xf numFmtId="11" fontId="2" fillId="4" borderId="5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8" borderId="2" xfId="0" applyFont="1" applyFill="1" applyBorder="1" applyAlignment="1">
      <alignment horizontal="center"/>
    </xf>
    <xf numFmtId="0" fontId="11" fillId="8" borderId="15" xfId="0" applyFont="1" applyFill="1" applyBorder="1" applyAlignment="1">
      <alignment horizontal="center"/>
    </xf>
    <xf numFmtId="178" fontId="0" fillId="0" borderId="0" xfId="0" applyNumberFormat="1" applyAlignment="1">
      <alignment horizontal="center"/>
    </xf>
    <xf numFmtId="178" fontId="0" fillId="0" borderId="30" xfId="0" applyNumberFormat="1" applyBorder="1" applyAlignment="1">
      <alignment horizontal="center"/>
    </xf>
    <xf numFmtId="178" fontId="0" fillId="0" borderId="30" xfId="0" applyNumberFormat="1" applyBorder="1" applyAlignment="1">
      <alignment horizontal="center"/>
    </xf>
    <xf numFmtId="178" fontId="0" fillId="0" borderId="15" xfId="0" applyNumberFormat="1" applyBorder="1" applyAlignment="1">
      <alignment horizontal="center"/>
    </xf>
    <xf numFmtId="178" fontId="0" fillId="0" borderId="2" xfId="0" applyNumberForma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11" fillId="8" borderId="16" xfId="0" applyFont="1" applyFill="1" applyBorder="1" applyAlignment="1">
      <alignment horizontal="center" wrapText="1"/>
    </xf>
    <xf numFmtId="2" fontId="0" fillId="0" borderId="30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33" xfId="0" applyNumberFormat="1" applyBorder="1" applyAlignment="1">
      <alignment horizontal="center" wrapText="1"/>
    </xf>
    <xf numFmtId="2" fontId="0" fillId="0" borderId="21" xfId="0" applyNumberFormat="1" applyBorder="1" applyAlignment="1">
      <alignment horizontal="center"/>
    </xf>
    <xf numFmtId="2" fontId="0" fillId="0" borderId="32" xfId="0" applyNumberFormat="1" applyBorder="1" applyAlignment="1">
      <alignment horizontal="center"/>
    </xf>
    <xf numFmtId="2" fontId="0" fillId="0" borderId="22" xfId="0" applyNumberFormat="1" applyBorder="1" applyAlignment="1">
      <alignment horizontal="center" wrapText="1"/>
    </xf>
    <xf numFmtId="0" fontId="14" fillId="2" borderId="0" xfId="0" applyFont="1" applyFill="1" applyAlignment="1">
      <alignment horizontal="center"/>
    </xf>
    <xf numFmtId="0" fontId="2" fillId="10" borderId="47" xfId="0" applyFont="1" applyFill="1" applyBorder="1"/>
    <xf numFmtId="0" fontId="0" fillId="0" borderId="47" xfId="0" applyBorder="1"/>
    <xf numFmtId="0" fontId="1" fillId="2" borderId="0" xfId="0" applyFont="1" applyFill="1" applyAlignment="1">
      <alignment horizontal="center"/>
    </xf>
    <xf numFmtId="58" fontId="0" fillId="0" borderId="0" xfId="0" applyNumberFormat="1" applyAlignment="1">
      <alignment horizontal="center"/>
    </xf>
    <xf numFmtId="0" fontId="0" fillId="0" borderId="32" xfId="0" applyBorder="1"/>
    <xf numFmtId="0" fontId="9" fillId="2" borderId="39" xfId="0" applyFont="1" applyFill="1" applyBorder="1" applyAlignment="1">
      <alignment horizontal="center"/>
    </xf>
    <xf numFmtId="0" fontId="9" fillId="2" borderId="48" xfId="0" applyFont="1" applyFill="1" applyBorder="1" applyAlignment="1">
      <alignment horizontal="center"/>
    </xf>
    <xf numFmtId="0" fontId="9" fillId="2" borderId="41" xfId="0" applyFont="1" applyFill="1" applyBorder="1" applyAlignment="1">
      <alignment horizontal="center"/>
    </xf>
    <xf numFmtId="0" fontId="1" fillId="2" borderId="44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0" fontId="1" fillId="2" borderId="47" xfId="0" applyFont="1" applyFill="1" applyBorder="1"/>
    <xf numFmtId="0" fontId="1" fillId="2" borderId="47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58" fontId="0" fillId="0" borderId="0" xfId="0" applyNumberFormat="1"/>
    <xf numFmtId="0" fontId="9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 wrapText="1"/>
    </xf>
    <xf numFmtId="179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4"/>
  <sheetViews>
    <sheetView workbookViewId="0">
      <selection activeCell="A1" sqref="$A1:$XFD1048576"/>
    </sheetView>
  </sheetViews>
  <sheetFormatPr defaultColWidth="9" defaultRowHeight="13.8"/>
  <cols>
    <col min="1" max="4" width="15" customWidth="1"/>
    <col min="5" max="5" width="15.5" customWidth="1"/>
    <col min="6" max="6" width="15" customWidth="1"/>
    <col min="7" max="7" width="16" customWidth="1"/>
    <col min="8" max="8" width="15" customWidth="1"/>
    <col min="9" max="9" width="22.3333333333333" customWidth="1"/>
    <col min="10" max="10" width="21.8333333333333" customWidth="1"/>
    <col min="11" max="14" width="15" customWidth="1"/>
  </cols>
  <sheetData>
    <row r="1" s="133" customFormat="1" ht="18.65" customHeight="1" spans="1:14">
      <c r="A1" s="189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</row>
    <row r="2" s="133" customFormat="1" spans="1:14">
      <c r="A2" s="132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</row>
    <row r="4" customFormat="1" ht="31.2" spans="1:14">
      <c r="A4" s="190" t="s">
        <v>2</v>
      </c>
      <c r="B4" s="190" t="s">
        <v>3</v>
      </c>
      <c r="C4" s="190" t="s">
        <v>4</v>
      </c>
      <c r="D4" s="190" t="s">
        <v>5</v>
      </c>
      <c r="E4" s="190" t="s">
        <v>6</v>
      </c>
      <c r="F4" s="190" t="s">
        <v>7</v>
      </c>
      <c r="G4" s="190" t="s">
        <v>8</v>
      </c>
      <c r="H4" s="190" t="s">
        <v>9</v>
      </c>
      <c r="I4" s="190" t="s">
        <v>10</v>
      </c>
      <c r="J4" s="190" t="s">
        <v>11</v>
      </c>
      <c r="K4" s="190" t="s">
        <v>12</v>
      </c>
      <c r="L4" s="190" t="s">
        <v>13</v>
      </c>
      <c r="M4" s="190" t="s">
        <v>14</v>
      </c>
      <c r="N4" s="190" t="s">
        <v>15</v>
      </c>
    </row>
    <row r="5" s="133" customFormat="1" spans="1:14">
      <c r="A5" s="133" t="s">
        <v>16</v>
      </c>
      <c r="B5" s="191">
        <v>45658</v>
      </c>
      <c r="C5" s="133" t="s">
        <v>17</v>
      </c>
      <c r="D5" s="133" t="s">
        <v>18</v>
      </c>
      <c r="E5" s="133">
        <v>70389.11</v>
      </c>
      <c r="F5" s="133">
        <v>8302</v>
      </c>
      <c r="G5" s="133">
        <v>0.042</v>
      </c>
      <c r="H5" s="133">
        <v>17</v>
      </c>
      <c r="I5" s="133">
        <v>75</v>
      </c>
      <c r="J5" s="133">
        <v>5.28</v>
      </c>
      <c r="K5" s="133">
        <v>1</v>
      </c>
      <c r="L5" s="133">
        <v>3.1</v>
      </c>
      <c r="M5" s="133">
        <v>658832.62</v>
      </c>
      <c r="N5" s="133">
        <v>84349.93</v>
      </c>
    </row>
    <row r="6" s="133" customFormat="1" spans="1:14">
      <c r="A6" s="133" t="s">
        <v>16</v>
      </c>
      <c r="B6" s="191">
        <v>45689</v>
      </c>
      <c r="C6" s="133" t="s">
        <v>17</v>
      </c>
      <c r="D6" s="133" t="s">
        <v>18</v>
      </c>
      <c r="E6" s="133">
        <v>43827.89</v>
      </c>
      <c r="F6" s="133">
        <v>8487</v>
      </c>
      <c r="G6" s="133">
        <v>0.168</v>
      </c>
      <c r="H6" s="133">
        <v>23</v>
      </c>
      <c r="I6" s="133">
        <v>84.4</v>
      </c>
      <c r="J6" s="133">
        <v>4.31</v>
      </c>
      <c r="K6" s="133">
        <v>0</v>
      </c>
      <c r="L6" s="133">
        <v>2.8</v>
      </c>
      <c r="M6" s="133">
        <v>634436</v>
      </c>
      <c r="N6" s="133">
        <v>106130.54</v>
      </c>
    </row>
    <row r="7" s="133" customFormat="1" spans="1:14">
      <c r="A7" s="133" t="s">
        <v>16</v>
      </c>
      <c r="B7" s="191">
        <v>45717</v>
      </c>
      <c r="C7" s="133" t="s">
        <v>17</v>
      </c>
      <c r="D7" s="133" t="s">
        <v>18</v>
      </c>
      <c r="E7" s="133">
        <v>59921.75</v>
      </c>
      <c r="F7" s="133">
        <v>9113</v>
      </c>
      <c r="G7" s="133">
        <v>0.133</v>
      </c>
      <c r="H7" s="133">
        <v>20</v>
      </c>
      <c r="I7" s="133">
        <v>88</v>
      </c>
      <c r="J7" s="133">
        <v>12</v>
      </c>
      <c r="K7" s="133">
        <v>0</v>
      </c>
      <c r="L7" s="133">
        <v>3.2</v>
      </c>
      <c r="M7" s="133">
        <v>678722.06</v>
      </c>
      <c r="N7" s="133">
        <v>101883.86</v>
      </c>
    </row>
    <row r="8" s="133" customFormat="1" spans="1:14">
      <c r="A8" s="133" t="s">
        <v>16</v>
      </c>
      <c r="B8" s="191">
        <v>45748</v>
      </c>
      <c r="C8" s="133" t="s">
        <v>17</v>
      </c>
      <c r="D8" s="133" t="s">
        <v>18</v>
      </c>
      <c r="E8" s="133">
        <v>56856.63</v>
      </c>
      <c r="F8" s="133">
        <v>9431</v>
      </c>
      <c r="G8" s="133">
        <v>0.142</v>
      </c>
      <c r="H8" s="133">
        <v>23</v>
      </c>
      <c r="I8" s="133">
        <v>86.9</v>
      </c>
      <c r="J8" s="133">
        <v>4.97</v>
      </c>
      <c r="K8" s="133">
        <v>0</v>
      </c>
      <c r="L8" s="133">
        <v>3.4</v>
      </c>
      <c r="M8" s="133">
        <v>658920.3</v>
      </c>
      <c r="N8" s="133">
        <v>97910.37</v>
      </c>
    </row>
    <row r="9" s="133" customFormat="1" spans="1:14">
      <c r="A9" s="133" t="s">
        <v>19</v>
      </c>
      <c r="B9" s="191">
        <v>45658</v>
      </c>
      <c r="C9" s="133" t="s">
        <v>17</v>
      </c>
      <c r="D9" s="133" t="s">
        <v>20</v>
      </c>
      <c r="E9" s="133">
        <v>48412.64</v>
      </c>
      <c r="F9" s="133">
        <v>9545</v>
      </c>
      <c r="G9" s="133">
        <v>0.231</v>
      </c>
      <c r="H9" s="133">
        <v>21</v>
      </c>
      <c r="I9" s="133">
        <v>97.6</v>
      </c>
      <c r="J9" s="133">
        <v>6.94</v>
      </c>
      <c r="K9" s="133">
        <v>1</v>
      </c>
      <c r="L9" s="133">
        <v>4.2</v>
      </c>
      <c r="M9" s="133">
        <v>741341.44</v>
      </c>
      <c r="N9" s="133">
        <v>119208.17</v>
      </c>
    </row>
    <row r="10" s="133" customFormat="1" spans="1:14">
      <c r="A10" s="133" t="s">
        <v>19</v>
      </c>
      <c r="B10" s="191">
        <v>45689</v>
      </c>
      <c r="C10" s="133" t="s">
        <v>17</v>
      </c>
      <c r="D10" s="133" t="s">
        <v>20</v>
      </c>
      <c r="E10" s="133">
        <v>64811.21</v>
      </c>
      <c r="F10" s="133">
        <v>9792</v>
      </c>
      <c r="G10" s="133">
        <v>0.112</v>
      </c>
      <c r="H10" s="133">
        <v>20</v>
      </c>
      <c r="I10" s="133">
        <v>84.2</v>
      </c>
      <c r="J10" s="133">
        <v>2.88</v>
      </c>
      <c r="K10" s="133">
        <v>0</v>
      </c>
      <c r="L10" s="133">
        <v>4.2</v>
      </c>
      <c r="M10" s="133">
        <v>761835.34</v>
      </c>
      <c r="N10" s="133">
        <v>149602.23</v>
      </c>
    </row>
    <row r="11" s="133" customFormat="1" spans="1:14">
      <c r="A11" s="133" t="s">
        <v>19</v>
      </c>
      <c r="B11" s="191">
        <v>45717</v>
      </c>
      <c r="C11" s="133" t="s">
        <v>17</v>
      </c>
      <c r="D11" s="133" t="s">
        <v>20</v>
      </c>
      <c r="E11" s="133">
        <v>46213.45</v>
      </c>
      <c r="F11" s="133">
        <v>10616</v>
      </c>
      <c r="G11" s="133">
        <v>0.122</v>
      </c>
      <c r="H11" s="133">
        <v>22</v>
      </c>
      <c r="I11" s="133">
        <v>85.2</v>
      </c>
      <c r="J11" s="133">
        <v>0.2</v>
      </c>
      <c r="K11" s="133">
        <v>1</v>
      </c>
      <c r="L11" s="133">
        <v>4.1</v>
      </c>
      <c r="M11" s="133">
        <v>806615.54</v>
      </c>
      <c r="N11" s="133">
        <v>131364.62</v>
      </c>
    </row>
    <row r="12" s="133" customFormat="1" spans="1:14">
      <c r="A12" s="133" t="s">
        <v>19</v>
      </c>
      <c r="B12" s="191">
        <v>45748</v>
      </c>
      <c r="C12" s="133" t="s">
        <v>17</v>
      </c>
      <c r="D12" s="133" t="s">
        <v>20</v>
      </c>
      <c r="E12" s="133">
        <v>68148.52</v>
      </c>
      <c r="F12" s="133">
        <v>8567</v>
      </c>
      <c r="G12" s="133">
        <v>0.127</v>
      </c>
      <c r="H12" s="133">
        <v>23</v>
      </c>
      <c r="I12" s="133">
        <v>95.6</v>
      </c>
      <c r="J12" s="133">
        <v>0.8</v>
      </c>
      <c r="K12" s="133">
        <v>0</v>
      </c>
      <c r="L12" s="133">
        <v>3.9</v>
      </c>
      <c r="M12" s="133">
        <v>850164.26</v>
      </c>
      <c r="N12" s="133">
        <v>149262.75</v>
      </c>
    </row>
    <row r="13" s="133" customFormat="1" spans="1:14">
      <c r="A13" s="133" t="s">
        <v>21</v>
      </c>
      <c r="B13" s="191">
        <v>45658</v>
      </c>
      <c r="C13" s="133" t="s">
        <v>22</v>
      </c>
      <c r="D13" s="133" t="s">
        <v>23</v>
      </c>
      <c r="E13" s="133">
        <v>71838.86</v>
      </c>
      <c r="F13" s="133">
        <v>10979</v>
      </c>
      <c r="G13" s="133">
        <v>0.215</v>
      </c>
      <c r="H13" s="133">
        <v>26</v>
      </c>
      <c r="I13" s="133">
        <v>88.6</v>
      </c>
      <c r="J13" s="133">
        <v>7.7</v>
      </c>
      <c r="K13" s="133">
        <v>1</v>
      </c>
      <c r="L13" s="133">
        <v>3.8</v>
      </c>
      <c r="M13" s="133">
        <v>930581.7</v>
      </c>
      <c r="N13" s="133">
        <v>136207.98</v>
      </c>
    </row>
    <row r="14" s="133" customFormat="1" spans="1:14">
      <c r="A14" s="133" t="s">
        <v>21</v>
      </c>
      <c r="B14" s="191">
        <v>45689</v>
      </c>
      <c r="C14" s="133" t="s">
        <v>22</v>
      </c>
      <c r="D14" s="133" t="s">
        <v>23</v>
      </c>
      <c r="E14" s="133">
        <v>68133.44</v>
      </c>
      <c r="F14" s="133">
        <v>9459</v>
      </c>
      <c r="G14" s="133">
        <v>0.22</v>
      </c>
      <c r="H14" s="133">
        <v>21</v>
      </c>
      <c r="I14" s="133">
        <v>85</v>
      </c>
      <c r="J14" s="133">
        <v>1.91</v>
      </c>
      <c r="K14" s="133">
        <v>0</v>
      </c>
      <c r="L14" s="133">
        <v>4.2</v>
      </c>
      <c r="M14" s="133">
        <v>779010.94</v>
      </c>
      <c r="N14" s="133">
        <v>106328.09</v>
      </c>
    </row>
    <row r="15" s="133" customFormat="1" spans="1:14">
      <c r="A15" s="133" t="s">
        <v>21</v>
      </c>
      <c r="B15" s="191">
        <v>45717</v>
      </c>
      <c r="C15" s="133" t="s">
        <v>22</v>
      </c>
      <c r="D15" s="133" t="s">
        <v>23</v>
      </c>
      <c r="E15" s="133">
        <v>34285.21</v>
      </c>
      <c r="F15" s="133">
        <v>9172</v>
      </c>
      <c r="G15" s="133">
        <v>0.213</v>
      </c>
      <c r="H15" s="133">
        <v>22</v>
      </c>
      <c r="I15" s="133">
        <v>88.3</v>
      </c>
      <c r="J15" s="133">
        <v>10.46</v>
      </c>
      <c r="K15" s="133">
        <v>1</v>
      </c>
      <c r="L15" s="133">
        <v>3.8</v>
      </c>
      <c r="M15" s="133">
        <v>723060.76</v>
      </c>
      <c r="N15" s="133">
        <v>123131.24</v>
      </c>
    </row>
    <row r="16" s="133" customFormat="1" spans="1:14">
      <c r="A16" s="133" t="s">
        <v>21</v>
      </c>
      <c r="B16" s="191">
        <v>45748</v>
      </c>
      <c r="C16" s="133" t="s">
        <v>22</v>
      </c>
      <c r="D16" s="133" t="s">
        <v>23</v>
      </c>
      <c r="E16" s="133">
        <v>67979.88</v>
      </c>
      <c r="F16" s="133">
        <v>11230</v>
      </c>
      <c r="G16" s="133">
        <v>0.002</v>
      </c>
      <c r="H16" s="133">
        <v>28</v>
      </c>
      <c r="I16" s="133">
        <v>85.3</v>
      </c>
      <c r="J16" s="133">
        <v>7.16</v>
      </c>
      <c r="K16" s="133">
        <v>0</v>
      </c>
      <c r="L16" s="133">
        <v>3.8</v>
      </c>
      <c r="M16" s="133">
        <v>910791.94</v>
      </c>
      <c r="N16" s="133">
        <v>158891.28</v>
      </c>
    </row>
    <row r="17" s="133" customFormat="1" spans="1:14">
      <c r="A17" s="133" t="s">
        <v>24</v>
      </c>
      <c r="B17" s="191">
        <v>45658</v>
      </c>
      <c r="C17" s="133" t="s">
        <v>17</v>
      </c>
      <c r="D17" s="133" t="s">
        <v>18</v>
      </c>
      <c r="E17" s="133">
        <v>71828.26</v>
      </c>
      <c r="F17" s="133">
        <v>12775</v>
      </c>
      <c r="G17" s="133">
        <v>0.116</v>
      </c>
      <c r="H17" s="133">
        <v>30</v>
      </c>
      <c r="I17" s="133">
        <v>81.7</v>
      </c>
      <c r="J17" s="133">
        <v>4.24</v>
      </c>
      <c r="K17" s="133">
        <v>1</v>
      </c>
      <c r="L17" s="133">
        <v>4.2</v>
      </c>
      <c r="M17" s="133">
        <v>922168.6</v>
      </c>
      <c r="N17" s="133">
        <v>107494.53</v>
      </c>
    </row>
    <row r="18" s="133" customFormat="1" spans="1:14">
      <c r="A18" s="133" t="s">
        <v>24</v>
      </c>
      <c r="B18" s="191">
        <v>45689</v>
      </c>
      <c r="C18" s="133" t="s">
        <v>17</v>
      </c>
      <c r="D18" s="133" t="s">
        <v>18</v>
      </c>
      <c r="E18" s="133">
        <v>55716.82</v>
      </c>
      <c r="F18" s="133">
        <v>10054</v>
      </c>
      <c r="G18" s="133">
        <v>0.146</v>
      </c>
      <c r="H18" s="133">
        <v>24</v>
      </c>
      <c r="I18" s="133">
        <v>84.9</v>
      </c>
      <c r="J18" s="133">
        <v>1.06</v>
      </c>
      <c r="K18" s="133">
        <v>0</v>
      </c>
      <c r="L18" s="133">
        <v>4.3</v>
      </c>
      <c r="M18" s="133">
        <v>726606.28</v>
      </c>
      <c r="N18" s="133">
        <v>122729.29</v>
      </c>
    </row>
    <row r="19" s="133" customFormat="1" spans="1:14">
      <c r="A19" s="133" t="s">
        <v>24</v>
      </c>
      <c r="B19" s="191">
        <v>45717</v>
      </c>
      <c r="C19" s="133" t="s">
        <v>17</v>
      </c>
      <c r="D19" s="133" t="s">
        <v>18</v>
      </c>
      <c r="E19" s="133">
        <v>59909.51</v>
      </c>
      <c r="F19" s="133">
        <v>8895</v>
      </c>
      <c r="G19" s="133">
        <v>0.228</v>
      </c>
      <c r="H19" s="133">
        <v>23</v>
      </c>
      <c r="I19" s="133">
        <v>88.8</v>
      </c>
      <c r="J19" s="133">
        <v>0.27</v>
      </c>
      <c r="K19" s="133">
        <v>0</v>
      </c>
      <c r="L19" s="133">
        <v>4.3</v>
      </c>
      <c r="M19" s="133">
        <v>746501.09</v>
      </c>
      <c r="N19" s="133">
        <v>136816.72</v>
      </c>
    </row>
    <row r="20" s="133" customFormat="1" spans="1:14">
      <c r="A20" s="133" t="s">
        <v>24</v>
      </c>
      <c r="B20" s="191">
        <v>45748</v>
      </c>
      <c r="C20" s="133" t="s">
        <v>17</v>
      </c>
      <c r="D20" s="133" t="s">
        <v>18</v>
      </c>
      <c r="E20" s="133">
        <v>75305.71</v>
      </c>
      <c r="F20" s="133">
        <v>10940</v>
      </c>
      <c r="G20" s="133">
        <v>0.006</v>
      </c>
      <c r="H20" s="133">
        <v>26</v>
      </c>
      <c r="I20" s="133">
        <v>76.5</v>
      </c>
      <c r="J20" s="133">
        <v>1.32</v>
      </c>
      <c r="K20" s="133">
        <v>0</v>
      </c>
      <c r="L20" s="133">
        <v>4.5</v>
      </c>
      <c r="M20" s="133">
        <v>834017.02</v>
      </c>
      <c r="N20" s="133">
        <v>114745.03</v>
      </c>
    </row>
    <row r="21" s="133" customFormat="1" spans="1:14">
      <c r="A21" s="133" t="s">
        <v>25</v>
      </c>
      <c r="B21" s="191">
        <v>45658</v>
      </c>
      <c r="C21" s="133" t="s">
        <v>26</v>
      </c>
      <c r="D21" s="133" t="s">
        <v>18</v>
      </c>
      <c r="E21" s="133">
        <v>48804.22</v>
      </c>
      <c r="F21" s="133">
        <v>7057</v>
      </c>
      <c r="G21" s="133">
        <v>0.005</v>
      </c>
      <c r="H21" s="133">
        <v>15</v>
      </c>
      <c r="I21" s="133">
        <v>87.7</v>
      </c>
      <c r="J21" s="133">
        <v>1.22</v>
      </c>
      <c r="K21" s="133">
        <v>0</v>
      </c>
      <c r="L21" s="133">
        <v>3.7</v>
      </c>
      <c r="M21" s="133">
        <v>666152.52</v>
      </c>
      <c r="N21" s="133">
        <v>107490.58</v>
      </c>
    </row>
    <row r="22" s="133" customFormat="1" spans="1:14">
      <c r="A22" s="133" t="s">
        <v>25</v>
      </c>
      <c r="B22" s="191">
        <v>45689</v>
      </c>
      <c r="C22" s="133" t="s">
        <v>26</v>
      </c>
      <c r="D22" s="133" t="s">
        <v>18</v>
      </c>
      <c r="E22" s="133">
        <v>59117.9</v>
      </c>
      <c r="F22" s="133">
        <v>4263</v>
      </c>
      <c r="G22" s="133">
        <v>0.119</v>
      </c>
      <c r="H22" s="133">
        <v>9</v>
      </c>
      <c r="I22" s="133">
        <v>87.6</v>
      </c>
      <c r="J22" s="133">
        <v>4.01</v>
      </c>
      <c r="K22" s="133">
        <v>0</v>
      </c>
      <c r="L22" s="133">
        <v>3.6</v>
      </c>
      <c r="M22" s="133">
        <v>573155.19</v>
      </c>
      <c r="N22" s="133">
        <v>83680.75</v>
      </c>
    </row>
    <row r="23" s="133" customFormat="1" spans="1:14">
      <c r="A23" s="133" t="s">
        <v>25</v>
      </c>
      <c r="B23" s="191">
        <v>45717</v>
      </c>
      <c r="C23" s="133" t="s">
        <v>26</v>
      </c>
      <c r="D23" s="133" t="s">
        <v>18</v>
      </c>
      <c r="E23" s="133">
        <v>78831.12</v>
      </c>
      <c r="F23" s="133">
        <v>5538</v>
      </c>
      <c r="G23" s="133">
        <v>0</v>
      </c>
      <c r="H23" s="133">
        <v>15</v>
      </c>
      <c r="I23" s="133">
        <v>94.1</v>
      </c>
      <c r="J23" s="133">
        <v>0.2</v>
      </c>
      <c r="K23" s="133">
        <v>0</v>
      </c>
      <c r="L23" s="133">
        <v>3.9</v>
      </c>
      <c r="M23" s="133">
        <v>666573.2</v>
      </c>
      <c r="N23" s="133">
        <v>140641.02</v>
      </c>
    </row>
    <row r="24" s="133" customFormat="1" spans="1:14">
      <c r="A24" s="133" t="s">
        <v>25</v>
      </c>
      <c r="B24" s="191">
        <v>45748</v>
      </c>
      <c r="C24" s="133" t="s">
        <v>26</v>
      </c>
      <c r="D24" s="133" t="s">
        <v>18</v>
      </c>
      <c r="E24" s="133">
        <v>41441.93</v>
      </c>
      <c r="F24" s="133">
        <v>4865</v>
      </c>
      <c r="G24" s="133">
        <v>0.158</v>
      </c>
      <c r="H24" s="133">
        <v>16</v>
      </c>
      <c r="I24" s="133">
        <v>88.3</v>
      </c>
      <c r="J24" s="133">
        <v>0.5</v>
      </c>
      <c r="K24" s="133">
        <v>0</v>
      </c>
      <c r="L24" s="133">
        <v>4</v>
      </c>
      <c r="M24" s="133">
        <v>591619.95</v>
      </c>
      <c r="N24" s="133">
        <v>99521.35</v>
      </c>
    </row>
    <row r="25" s="133" customFormat="1" spans="1:14">
      <c r="A25" s="133" t="s">
        <v>27</v>
      </c>
      <c r="B25" s="191">
        <v>45658</v>
      </c>
      <c r="C25" s="133" t="s">
        <v>22</v>
      </c>
      <c r="D25" s="133" t="s">
        <v>18</v>
      </c>
      <c r="E25" s="133">
        <v>30356.28</v>
      </c>
      <c r="F25" s="133">
        <v>2822</v>
      </c>
      <c r="G25" s="133">
        <v>0.231</v>
      </c>
      <c r="H25" s="133">
        <v>9</v>
      </c>
      <c r="I25" s="133">
        <v>84.8</v>
      </c>
      <c r="J25" s="133">
        <v>6.95</v>
      </c>
      <c r="K25" s="133">
        <v>0</v>
      </c>
      <c r="L25" s="133">
        <v>5</v>
      </c>
      <c r="M25" s="133">
        <v>415721.82</v>
      </c>
      <c r="N25" s="133">
        <v>61179.15</v>
      </c>
    </row>
    <row r="26" s="133" customFormat="1" spans="1:14">
      <c r="A26" s="133" t="s">
        <v>27</v>
      </c>
      <c r="B26" s="191">
        <v>45689</v>
      </c>
      <c r="C26" s="133" t="s">
        <v>22</v>
      </c>
      <c r="D26" s="133" t="s">
        <v>18</v>
      </c>
      <c r="E26" s="133">
        <v>33518.88</v>
      </c>
      <c r="F26" s="133">
        <v>2121</v>
      </c>
      <c r="G26" s="133">
        <v>0.176</v>
      </c>
      <c r="H26" s="133">
        <v>8</v>
      </c>
      <c r="I26" s="133">
        <v>88.5</v>
      </c>
      <c r="J26" s="133">
        <v>0.2</v>
      </c>
      <c r="K26" s="133">
        <v>0</v>
      </c>
      <c r="L26" s="133">
        <v>5</v>
      </c>
      <c r="M26" s="133">
        <v>491905.13</v>
      </c>
      <c r="N26" s="133">
        <v>79212.26</v>
      </c>
    </row>
    <row r="27" s="133" customFormat="1" spans="1:14">
      <c r="A27" s="133" t="s">
        <v>27</v>
      </c>
      <c r="B27" s="191">
        <v>45717</v>
      </c>
      <c r="C27" s="133" t="s">
        <v>22</v>
      </c>
      <c r="D27" s="133" t="s">
        <v>18</v>
      </c>
      <c r="E27" s="133">
        <v>42267.37</v>
      </c>
      <c r="F27" s="133">
        <v>3364</v>
      </c>
      <c r="G27" s="133">
        <v>0.16</v>
      </c>
      <c r="H27" s="133">
        <v>13</v>
      </c>
      <c r="I27" s="133">
        <v>82</v>
      </c>
      <c r="J27" s="133">
        <v>1.61</v>
      </c>
      <c r="K27" s="133">
        <v>1</v>
      </c>
      <c r="L27" s="133">
        <v>4.6</v>
      </c>
      <c r="M27" s="133">
        <v>555929.4</v>
      </c>
      <c r="N27" s="133">
        <v>115201.76</v>
      </c>
    </row>
    <row r="28" s="133" customFormat="1" spans="1:14">
      <c r="A28" s="133" t="s">
        <v>27</v>
      </c>
      <c r="B28" s="191">
        <v>45748</v>
      </c>
      <c r="C28" s="133" t="s">
        <v>22</v>
      </c>
      <c r="D28" s="133" t="s">
        <v>18</v>
      </c>
      <c r="E28" s="133">
        <v>62060.43</v>
      </c>
      <c r="F28" s="133">
        <v>2613</v>
      </c>
      <c r="G28" s="133">
        <v>0.216</v>
      </c>
      <c r="H28" s="133">
        <v>12</v>
      </c>
      <c r="I28" s="133">
        <v>92.1</v>
      </c>
      <c r="J28" s="133">
        <v>1.55</v>
      </c>
      <c r="K28" s="133">
        <v>0</v>
      </c>
      <c r="L28" s="133">
        <v>4.7</v>
      </c>
      <c r="M28" s="133">
        <v>565810.99</v>
      </c>
      <c r="N28" s="133">
        <v>77825.46</v>
      </c>
    </row>
    <row r="29" s="133" customFormat="1" spans="1:14">
      <c r="A29" s="133" t="s">
        <v>28</v>
      </c>
      <c r="B29" s="191">
        <v>45658</v>
      </c>
      <c r="C29" s="133" t="s">
        <v>29</v>
      </c>
      <c r="D29" s="133" t="s">
        <v>30</v>
      </c>
      <c r="E29" s="133">
        <v>57696.69</v>
      </c>
      <c r="F29" s="133">
        <v>10218</v>
      </c>
      <c r="G29" s="133">
        <v>0.121</v>
      </c>
      <c r="H29" s="133">
        <v>25</v>
      </c>
      <c r="I29" s="133">
        <v>94.8</v>
      </c>
      <c r="J29" s="133">
        <v>2.99</v>
      </c>
      <c r="K29" s="133">
        <v>0</v>
      </c>
      <c r="L29" s="133">
        <v>3.5</v>
      </c>
      <c r="M29" s="133">
        <v>811771.14</v>
      </c>
      <c r="N29" s="133">
        <v>148756.24</v>
      </c>
    </row>
    <row r="30" s="133" customFormat="1" spans="1:14">
      <c r="A30" s="133" t="s">
        <v>28</v>
      </c>
      <c r="B30" s="191">
        <v>45689</v>
      </c>
      <c r="C30" s="133" t="s">
        <v>29</v>
      </c>
      <c r="D30" s="133" t="s">
        <v>30</v>
      </c>
      <c r="E30" s="133">
        <v>172415.52</v>
      </c>
      <c r="F30" s="133">
        <v>8927</v>
      </c>
      <c r="G30" s="133">
        <v>0.14</v>
      </c>
      <c r="H30" s="133">
        <v>22</v>
      </c>
      <c r="I30" s="133">
        <v>86.2</v>
      </c>
      <c r="J30" s="133">
        <v>7.04</v>
      </c>
      <c r="K30" s="133">
        <v>0</v>
      </c>
      <c r="L30" s="133">
        <v>3.9</v>
      </c>
      <c r="M30" s="133">
        <v>800451.94</v>
      </c>
      <c r="N30" s="133">
        <v>111572.29</v>
      </c>
    </row>
    <row r="31" s="133" customFormat="1" spans="1:14">
      <c r="A31" s="133" t="s">
        <v>28</v>
      </c>
      <c r="B31" s="191">
        <v>45717</v>
      </c>
      <c r="C31" s="133" t="s">
        <v>29</v>
      </c>
      <c r="D31" s="133" t="s">
        <v>30</v>
      </c>
      <c r="E31" s="133">
        <v>55270.52</v>
      </c>
      <c r="F31" s="133">
        <v>9315</v>
      </c>
      <c r="G31" s="133">
        <v>0.169</v>
      </c>
      <c r="H31" s="133">
        <v>23</v>
      </c>
      <c r="I31" s="133">
        <v>91.9</v>
      </c>
      <c r="J31" s="133">
        <v>4.94</v>
      </c>
      <c r="K31" s="133">
        <v>0</v>
      </c>
      <c r="L31" s="133">
        <v>4</v>
      </c>
      <c r="M31" s="133">
        <v>783672.82</v>
      </c>
      <c r="N31" s="133">
        <v>112577.14</v>
      </c>
    </row>
    <row r="32" s="133" customFormat="1" spans="1:14">
      <c r="A32" s="133" t="s">
        <v>28</v>
      </c>
      <c r="B32" s="191">
        <v>45748</v>
      </c>
      <c r="C32" s="133" t="s">
        <v>29</v>
      </c>
      <c r="D32" s="133" t="s">
        <v>30</v>
      </c>
      <c r="E32" s="133">
        <v>52715.1</v>
      </c>
      <c r="F32" s="133">
        <v>7223</v>
      </c>
      <c r="G32" s="133">
        <v>0.122</v>
      </c>
      <c r="H32" s="133">
        <v>16</v>
      </c>
      <c r="I32" s="133">
        <v>84.2</v>
      </c>
      <c r="J32" s="133">
        <v>16.15</v>
      </c>
      <c r="K32" s="133">
        <v>0</v>
      </c>
      <c r="L32" s="133">
        <v>3.7</v>
      </c>
      <c r="M32" s="133">
        <v>701641.97</v>
      </c>
      <c r="N32" s="133">
        <v>106111.86</v>
      </c>
    </row>
    <row r="33" s="133" customFormat="1" spans="1:14">
      <c r="A33" s="133" t="s">
        <v>31</v>
      </c>
      <c r="B33" s="191">
        <v>45658</v>
      </c>
      <c r="C33" s="133" t="s">
        <v>17</v>
      </c>
      <c r="D33" s="133" t="s">
        <v>18</v>
      </c>
      <c r="E33" s="133">
        <v>68600.62</v>
      </c>
      <c r="F33" s="133">
        <v>3988</v>
      </c>
      <c r="G33" s="133">
        <v>0.124</v>
      </c>
      <c r="H33" s="133">
        <v>11</v>
      </c>
      <c r="I33" s="133">
        <v>85</v>
      </c>
      <c r="J33" s="133">
        <v>0.48</v>
      </c>
      <c r="K33" s="133">
        <v>0</v>
      </c>
      <c r="L33" s="133">
        <v>3.6</v>
      </c>
      <c r="M33" s="133">
        <v>511844.41</v>
      </c>
      <c r="N33" s="133">
        <v>72774.44</v>
      </c>
    </row>
    <row r="34" s="133" customFormat="1" spans="1:14">
      <c r="A34" s="133" t="s">
        <v>31</v>
      </c>
      <c r="B34" s="191">
        <v>45689</v>
      </c>
      <c r="C34" s="133" t="s">
        <v>17</v>
      </c>
      <c r="D34" s="133" t="s">
        <v>18</v>
      </c>
      <c r="E34" s="133">
        <v>63176.73</v>
      </c>
      <c r="F34" s="133">
        <v>2390</v>
      </c>
      <c r="G34" s="133">
        <v>0.216</v>
      </c>
      <c r="H34" s="133">
        <v>9</v>
      </c>
      <c r="I34" s="133">
        <v>87.5</v>
      </c>
      <c r="J34" s="133">
        <v>0.31</v>
      </c>
      <c r="K34" s="133">
        <v>0</v>
      </c>
      <c r="L34" s="133">
        <v>3.1</v>
      </c>
      <c r="M34" s="133">
        <v>537383.79</v>
      </c>
      <c r="N34" s="133">
        <v>63773.27</v>
      </c>
    </row>
    <row r="35" s="133" customFormat="1" spans="1:14">
      <c r="A35" s="133" t="s">
        <v>31</v>
      </c>
      <c r="B35" s="191">
        <v>45717</v>
      </c>
      <c r="C35" s="133" t="s">
        <v>17</v>
      </c>
      <c r="D35" s="133" t="s">
        <v>18</v>
      </c>
      <c r="E35" s="133">
        <v>44970.08</v>
      </c>
      <c r="F35" s="133">
        <v>2471</v>
      </c>
      <c r="G35" s="133">
        <v>0.136</v>
      </c>
      <c r="H35" s="133">
        <v>11</v>
      </c>
      <c r="I35" s="133">
        <v>87.6</v>
      </c>
      <c r="J35" s="133">
        <v>3.01</v>
      </c>
      <c r="K35" s="133">
        <v>1</v>
      </c>
      <c r="L35" s="133">
        <v>3.7</v>
      </c>
      <c r="M35" s="133">
        <v>500173.02</v>
      </c>
      <c r="N35" s="133">
        <v>70982.05</v>
      </c>
    </row>
    <row r="36" s="133" customFormat="1" spans="1:14">
      <c r="A36" s="133" t="s">
        <v>31</v>
      </c>
      <c r="B36" s="191">
        <v>45748</v>
      </c>
      <c r="C36" s="133" t="s">
        <v>17</v>
      </c>
      <c r="D36" s="133" t="s">
        <v>18</v>
      </c>
      <c r="E36" s="133">
        <v>69816.35</v>
      </c>
      <c r="F36" s="133">
        <v>971</v>
      </c>
      <c r="G36" s="133">
        <v>0.168</v>
      </c>
      <c r="H36" s="133">
        <v>5</v>
      </c>
      <c r="I36" s="133">
        <v>89.9</v>
      </c>
      <c r="J36" s="133">
        <v>12.15</v>
      </c>
      <c r="K36" s="133">
        <v>0</v>
      </c>
      <c r="L36" s="133">
        <v>3.6</v>
      </c>
      <c r="M36" s="133">
        <v>427917.38</v>
      </c>
      <c r="N36" s="133">
        <v>81824.31</v>
      </c>
    </row>
    <row r="37" s="133" customFormat="1" spans="1:14">
      <c r="A37" s="133" t="s">
        <v>32</v>
      </c>
      <c r="B37" s="191">
        <v>45658</v>
      </c>
      <c r="C37" s="133" t="s">
        <v>22</v>
      </c>
      <c r="D37" s="133" t="s">
        <v>18</v>
      </c>
      <c r="E37" s="133">
        <v>54597.83</v>
      </c>
      <c r="F37" s="133">
        <v>9429</v>
      </c>
      <c r="G37" s="133">
        <v>0.188</v>
      </c>
      <c r="H37" s="133">
        <v>21</v>
      </c>
      <c r="I37" s="133">
        <v>83.3</v>
      </c>
      <c r="J37" s="133">
        <v>11.71</v>
      </c>
      <c r="K37" s="133">
        <v>0</v>
      </c>
      <c r="L37" s="133">
        <v>4.2</v>
      </c>
      <c r="M37" s="133">
        <v>641865.03</v>
      </c>
      <c r="N37" s="133">
        <v>81342.58</v>
      </c>
    </row>
    <row r="38" s="133" customFormat="1" spans="1:14">
      <c r="A38" s="133" t="s">
        <v>32</v>
      </c>
      <c r="B38" s="191">
        <v>45689</v>
      </c>
      <c r="C38" s="133" t="s">
        <v>22</v>
      </c>
      <c r="D38" s="133" t="s">
        <v>18</v>
      </c>
      <c r="E38" s="133">
        <v>73771.91</v>
      </c>
      <c r="F38" s="133">
        <v>11695</v>
      </c>
      <c r="G38" s="133">
        <v>0.07</v>
      </c>
      <c r="H38" s="133">
        <v>25</v>
      </c>
      <c r="I38" s="133">
        <v>84.7</v>
      </c>
      <c r="J38" s="133">
        <v>0.62</v>
      </c>
      <c r="K38" s="133">
        <v>0</v>
      </c>
      <c r="M38" s="133">
        <v>799477.76</v>
      </c>
      <c r="N38" s="133">
        <v>164974.41</v>
      </c>
    </row>
    <row r="39" s="133" customFormat="1" spans="1:14">
      <c r="A39" s="133" t="s">
        <v>32</v>
      </c>
      <c r="B39" s="191">
        <v>45717</v>
      </c>
      <c r="C39" s="133" t="s">
        <v>22</v>
      </c>
      <c r="D39" s="133" t="s">
        <v>18</v>
      </c>
      <c r="E39" s="133">
        <v>74413.88</v>
      </c>
      <c r="F39" s="133">
        <v>9449</v>
      </c>
      <c r="G39" s="133">
        <v>0.039</v>
      </c>
      <c r="H39" s="133">
        <v>23</v>
      </c>
      <c r="I39" s="133">
        <v>92.1</v>
      </c>
      <c r="J39" s="133">
        <v>2.12</v>
      </c>
      <c r="K39" s="133">
        <v>0</v>
      </c>
      <c r="L39" s="133">
        <v>3.5</v>
      </c>
      <c r="M39" s="133">
        <v>798952.17</v>
      </c>
      <c r="N39" s="133">
        <v>161499.04</v>
      </c>
    </row>
    <row r="40" s="133" customFormat="1" spans="1:14">
      <c r="A40" s="133" t="s">
        <v>32</v>
      </c>
      <c r="B40" s="191">
        <v>45748</v>
      </c>
      <c r="C40" s="133" t="s">
        <v>22</v>
      </c>
      <c r="D40" s="133" t="s">
        <v>18</v>
      </c>
      <c r="E40" s="133">
        <v>52483.77</v>
      </c>
      <c r="F40" s="133">
        <v>10453</v>
      </c>
      <c r="G40" s="133">
        <v>0.247</v>
      </c>
      <c r="H40" s="133">
        <v>25</v>
      </c>
      <c r="I40" s="133">
        <v>99</v>
      </c>
      <c r="J40" s="133">
        <v>6.31</v>
      </c>
      <c r="K40" s="133">
        <v>0</v>
      </c>
      <c r="L40" s="133">
        <v>3.6</v>
      </c>
      <c r="M40" s="133">
        <v>800979.78</v>
      </c>
      <c r="N40" s="133">
        <v>149242.27</v>
      </c>
    </row>
    <row r="41" s="133" customFormat="1" spans="1:14">
      <c r="A41" s="133" t="s">
        <v>33</v>
      </c>
      <c r="B41" s="191">
        <v>45658</v>
      </c>
      <c r="C41" s="133" t="s">
        <v>22</v>
      </c>
      <c r="D41" s="133" t="s">
        <v>30</v>
      </c>
      <c r="E41" s="133">
        <v>75269.87</v>
      </c>
      <c r="F41" s="133">
        <v>8838</v>
      </c>
      <c r="G41" s="133">
        <v>0.092</v>
      </c>
      <c r="H41" s="133">
        <v>21</v>
      </c>
      <c r="I41" s="133">
        <v>83.1</v>
      </c>
      <c r="J41" s="133">
        <v>9.56</v>
      </c>
      <c r="K41" s="133">
        <v>1</v>
      </c>
      <c r="L41" s="133">
        <v>4.2</v>
      </c>
      <c r="M41" s="133">
        <v>820593.93</v>
      </c>
      <c r="N41" s="133">
        <v>115860.06</v>
      </c>
    </row>
    <row r="42" s="133" customFormat="1" spans="1:14">
      <c r="A42" s="133" t="s">
        <v>33</v>
      </c>
      <c r="B42" s="191">
        <v>45689</v>
      </c>
      <c r="C42" s="133" t="s">
        <v>22</v>
      </c>
      <c r="D42" s="133" t="s">
        <v>30</v>
      </c>
      <c r="E42" s="133">
        <v>61245.41</v>
      </c>
      <c r="F42" s="133">
        <v>8156</v>
      </c>
      <c r="G42" s="133">
        <v>0.156</v>
      </c>
      <c r="H42" s="133">
        <v>19</v>
      </c>
      <c r="I42" s="133">
        <v>92.9</v>
      </c>
      <c r="J42" s="133">
        <v>9.05</v>
      </c>
      <c r="K42" s="133">
        <v>0</v>
      </c>
      <c r="L42" s="133">
        <v>3.8</v>
      </c>
      <c r="M42" s="133">
        <v>718330.53</v>
      </c>
      <c r="N42" s="133">
        <v>93247.9</v>
      </c>
    </row>
    <row r="43" s="133" customFormat="1" spans="1:14">
      <c r="A43" s="133" t="s">
        <v>33</v>
      </c>
      <c r="B43" s="191">
        <v>45717</v>
      </c>
      <c r="C43" s="133" t="s">
        <v>22</v>
      </c>
      <c r="D43" s="133" t="s">
        <v>30</v>
      </c>
      <c r="E43" s="133">
        <v>93381.26</v>
      </c>
      <c r="F43" s="133">
        <v>7562</v>
      </c>
      <c r="G43" s="133">
        <v>0.198</v>
      </c>
      <c r="H43" s="133">
        <v>19</v>
      </c>
      <c r="I43" s="133">
        <v>82.9</v>
      </c>
      <c r="J43" s="133">
        <v>5.05</v>
      </c>
      <c r="K43" s="133">
        <v>0</v>
      </c>
      <c r="L43" s="133">
        <v>4</v>
      </c>
      <c r="M43" s="133">
        <v>736633.4</v>
      </c>
      <c r="N43" s="133">
        <v>115654.66</v>
      </c>
    </row>
    <row r="44" s="133" customFormat="1" spans="1:14">
      <c r="A44" s="133" t="s">
        <v>33</v>
      </c>
      <c r="B44" s="191">
        <v>45748</v>
      </c>
      <c r="C44" s="133" t="s">
        <v>22</v>
      </c>
      <c r="D44" s="133" t="s">
        <v>30</v>
      </c>
      <c r="E44" s="133">
        <v>65012.19</v>
      </c>
      <c r="F44" s="133">
        <v>9598</v>
      </c>
      <c r="G44" s="133">
        <v>0.085</v>
      </c>
      <c r="H44" s="133">
        <v>24</v>
      </c>
      <c r="I44" s="133">
        <v>98.3</v>
      </c>
      <c r="J44" s="133">
        <v>0.89</v>
      </c>
      <c r="K44" s="133">
        <v>0</v>
      </c>
      <c r="L44" s="133">
        <v>3.8</v>
      </c>
      <c r="M44" s="133">
        <v>828623.85</v>
      </c>
      <c r="N44" s="133">
        <v>167320.52</v>
      </c>
    </row>
    <row r="45" s="133" customFormat="1" spans="1:14">
      <c r="A45" s="133" t="s">
        <v>34</v>
      </c>
      <c r="B45" s="191">
        <v>45658</v>
      </c>
      <c r="C45" s="133" t="s">
        <v>17</v>
      </c>
      <c r="D45" s="133" t="s">
        <v>30</v>
      </c>
      <c r="E45" s="133">
        <v>40462.94</v>
      </c>
      <c r="F45" s="133">
        <v>3660</v>
      </c>
      <c r="G45" s="133">
        <v>0.218</v>
      </c>
      <c r="H45" s="133">
        <v>11</v>
      </c>
      <c r="I45" s="133">
        <v>95.2</v>
      </c>
      <c r="J45" s="133">
        <v>5.57</v>
      </c>
      <c r="K45" s="133">
        <v>0</v>
      </c>
      <c r="L45" s="133">
        <v>4.4</v>
      </c>
      <c r="M45" s="133">
        <v>592195.85</v>
      </c>
      <c r="N45" s="133">
        <v>92291.56</v>
      </c>
    </row>
    <row r="46" s="133" customFormat="1" spans="1:14">
      <c r="A46" s="133" t="s">
        <v>34</v>
      </c>
      <c r="B46" s="191">
        <v>45689</v>
      </c>
      <c r="C46" s="133" t="s">
        <v>17</v>
      </c>
      <c r="D46" s="133" t="s">
        <v>30</v>
      </c>
      <c r="E46" s="133">
        <v>46123.88</v>
      </c>
      <c r="F46" s="133">
        <v>3227</v>
      </c>
      <c r="G46" s="133">
        <v>0.143</v>
      </c>
      <c r="H46" s="133">
        <v>10</v>
      </c>
      <c r="I46" s="133">
        <v>75.4</v>
      </c>
      <c r="J46" s="133">
        <v>1.06</v>
      </c>
      <c r="K46" s="133">
        <v>0</v>
      </c>
      <c r="L46" s="133">
        <v>4.4</v>
      </c>
      <c r="M46" s="133">
        <v>532644.46</v>
      </c>
      <c r="N46" s="133">
        <v>60681.32</v>
      </c>
    </row>
    <row r="47" s="133" customFormat="1" spans="1:14">
      <c r="A47" s="133" t="s">
        <v>34</v>
      </c>
      <c r="B47" s="191">
        <v>45717</v>
      </c>
      <c r="C47" s="133" t="s">
        <v>17</v>
      </c>
      <c r="D47" s="133" t="s">
        <v>30</v>
      </c>
      <c r="E47" s="133">
        <v>68077.54</v>
      </c>
      <c r="F47" s="133">
        <v>3360</v>
      </c>
      <c r="G47" s="133">
        <v>0.128</v>
      </c>
      <c r="H47" s="133">
        <v>14</v>
      </c>
      <c r="I47" s="133">
        <v>88.2</v>
      </c>
      <c r="J47" s="133">
        <v>1.24</v>
      </c>
      <c r="K47" s="133">
        <v>1</v>
      </c>
      <c r="L47" s="133">
        <v>4</v>
      </c>
      <c r="M47" s="133">
        <v>657429.18</v>
      </c>
      <c r="N47" s="133">
        <v>88919.74</v>
      </c>
    </row>
    <row r="48" s="133" customFormat="1" spans="1:14">
      <c r="A48" s="133" t="s">
        <v>34</v>
      </c>
      <c r="B48" s="191">
        <v>45748</v>
      </c>
      <c r="C48" s="133" t="s">
        <v>17</v>
      </c>
      <c r="D48" s="133" t="s">
        <v>30</v>
      </c>
      <c r="E48" s="133">
        <v>64882.14</v>
      </c>
      <c r="F48" s="133">
        <v>3642</v>
      </c>
      <c r="G48" s="133">
        <v>0.019</v>
      </c>
      <c r="H48" s="133">
        <v>13</v>
      </c>
      <c r="I48" s="133">
        <v>87.8</v>
      </c>
      <c r="J48" s="133">
        <v>4.52</v>
      </c>
      <c r="K48" s="133">
        <v>0</v>
      </c>
      <c r="L48" s="133">
        <v>4.2</v>
      </c>
      <c r="M48" s="133">
        <v>605178</v>
      </c>
      <c r="N48" s="133">
        <v>106958.74</v>
      </c>
    </row>
    <row r="49" s="133" customFormat="1" spans="1:14">
      <c r="A49" s="133" t="s">
        <v>35</v>
      </c>
      <c r="B49" s="191">
        <v>45658</v>
      </c>
      <c r="C49" s="133" t="s">
        <v>29</v>
      </c>
      <c r="D49" s="133" t="s">
        <v>18</v>
      </c>
      <c r="E49" s="133">
        <v>138855.51</v>
      </c>
      <c r="F49" s="133">
        <v>5145</v>
      </c>
      <c r="G49" s="133">
        <v>0.06</v>
      </c>
      <c r="H49" s="133">
        <v>17</v>
      </c>
      <c r="I49" s="133">
        <v>88.2</v>
      </c>
      <c r="J49" s="133">
        <v>9.58</v>
      </c>
      <c r="K49" s="133">
        <v>0</v>
      </c>
      <c r="L49" s="133">
        <v>3.2</v>
      </c>
      <c r="M49" s="133">
        <v>595467.6</v>
      </c>
      <c r="N49" s="133">
        <v>104276.46</v>
      </c>
    </row>
    <row r="50" s="133" customFormat="1" spans="1:14">
      <c r="A50" s="133" t="s">
        <v>35</v>
      </c>
      <c r="B50" s="191">
        <v>45689</v>
      </c>
      <c r="C50" s="133" t="s">
        <v>29</v>
      </c>
      <c r="D50" s="133" t="s">
        <v>18</v>
      </c>
      <c r="E50" s="133">
        <v>63630.21</v>
      </c>
      <c r="F50" s="133">
        <v>4460</v>
      </c>
      <c r="G50" s="133">
        <v>0.235</v>
      </c>
      <c r="H50" s="133">
        <v>14</v>
      </c>
      <c r="I50" s="133">
        <v>98.6</v>
      </c>
      <c r="J50" s="133">
        <v>5.52</v>
      </c>
      <c r="K50" s="133">
        <v>0</v>
      </c>
      <c r="L50" s="133">
        <v>3.5</v>
      </c>
      <c r="M50" s="133">
        <v>599603.4</v>
      </c>
      <c r="N50" s="133">
        <v>112685.12</v>
      </c>
    </row>
    <row r="51" s="133" customFormat="1" spans="1:14">
      <c r="A51" s="133" t="s">
        <v>35</v>
      </c>
      <c r="B51" s="191">
        <v>45717</v>
      </c>
      <c r="C51" s="133" t="s">
        <v>29</v>
      </c>
      <c r="D51" s="133" t="s">
        <v>18</v>
      </c>
      <c r="E51" s="133">
        <v>50043.65</v>
      </c>
      <c r="F51" s="133">
        <v>3804</v>
      </c>
      <c r="G51" s="133">
        <v>0.113</v>
      </c>
      <c r="H51" s="133">
        <v>11</v>
      </c>
      <c r="I51" s="133">
        <v>90.9</v>
      </c>
      <c r="J51" s="133">
        <v>2.7</v>
      </c>
      <c r="K51" s="133">
        <v>1</v>
      </c>
      <c r="L51" s="133">
        <v>3.2</v>
      </c>
      <c r="M51" s="133">
        <v>614800.09</v>
      </c>
      <c r="N51" s="133">
        <v>100044.2</v>
      </c>
    </row>
    <row r="52" s="133" customFormat="1" spans="1:14">
      <c r="A52" s="133" t="s">
        <v>35</v>
      </c>
      <c r="B52" s="191">
        <v>45748</v>
      </c>
      <c r="C52" s="133" t="s">
        <v>29</v>
      </c>
      <c r="D52" s="133" t="s">
        <v>18</v>
      </c>
      <c r="E52" s="133">
        <v>42093.84</v>
      </c>
      <c r="F52" s="133">
        <v>4074</v>
      </c>
      <c r="G52" s="133">
        <v>0.155</v>
      </c>
      <c r="H52" s="133">
        <v>15</v>
      </c>
      <c r="I52" s="133">
        <v>88</v>
      </c>
      <c r="J52" s="133">
        <v>9.64</v>
      </c>
      <c r="K52" s="133">
        <v>0</v>
      </c>
      <c r="L52" s="133">
        <v>3.3</v>
      </c>
      <c r="M52" s="133">
        <v>585365.73</v>
      </c>
      <c r="N52" s="133">
        <v>81011.52</v>
      </c>
    </row>
    <row r="53" s="133" customFormat="1" spans="1:14">
      <c r="A53" s="133" t="s">
        <v>36</v>
      </c>
      <c r="B53" s="191">
        <v>45658</v>
      </c>
      <c r="C53" s="133" t="s">
        <v>22</v>
      </c>
      <c r="D53" s="133" t="s">
        <v>30</v>
      </c>
      <c r="E53" s="133">
        <v>46624.05</v>
      </c>
      <c r="F53" s="133">
        <v>5104</v>
      </c>
      <c r="G53" s="133">
        <v>0.109</v>
      </c>
      <c r="H53" s="133">
        <v>11</v>
      </c>
      <c r="I53" s="133">
        <v>97.3</v>
      </c>
      <c r="J53" s="133">
        <v>3.49</v>
      </c>
      <c r="K53" s="133">
        <v>1</v>
      </c>
      <c r="L53" s="133">
        <v>4.7</v>
      </c>
      <c r="M53" s="133">
        <v>622811.74</v>
      </c>
      <c r="N53" s="133">
        <v>109978.35</v>
      </c>
    </row>
    <row r="54" s="133" customFormat="1" spans="1:14">
      <c r="A54" s="133" t="s">
        <v>36</v>
      </c>
      <c r="B54" s="191">
        <v>45689</v>
      </c>
      <c r="C54" s="133" t="s">
        <v>22</v>
      </c>
      <c r="D54" s="133" t="s">
        <v>30</v>
      </c>
      <c r="E54" s="133">
        <v>49710.29</v>
      </c>
      <c r="F54" s="133">
        <v>5559</v>
      </c>
      <c r="G54" s="133">
        <v>0.218</v>
      </c>
      <c r="H54" s="133">
        <v>14</v>
      </c>
      <c r="I54" s="133">
        <v>71</v>
      </c>
      <c r="J54" s="133">
        <v>9.11</v>
      </c>
      <c r="K54" s="133">
        <v>0</v>
      </c>
      <c r="L54" s="133">
        <v>4.6</v>
      </c>
      <c r="M54" s="133">
        <v>603297.57</v>
      </c>
      <c r="N54" s="133">
        <v>60592.26</v>
      </c>
    </row>
    <row r="55" s="133" customFormat="1" spans="1:14">
      <c r="A55" s="133" t="s">
        <v>36</v>
      </c>
      <c r="B55" s="191">
        <v>45717</v>
      </c>
      <c r="C55" s="133" t="s">
        <v>22</v>
      </c>
      <c r="D55" s="133" t="s">
        <v>30</v>
      </c>
      <c r="E55" s="133">
        <v>48287.85</v>
      </c>
      <c r="F55" s="133">
        <v>5150</v>
      </c>
      <c r="G55" s="133">
        <v>0.008</v>
      </c>
      <c r="H55" s="133">
        <v>12</v>
      </c>
      <c r="I55" s="133">
        <v>80.4</v>
      </c>
      <c r="J55" s="133">
        <v>7.4</v>
      </c>
      <c r="K55" s="133">
        <v>0</v>
      </c>
      <c r="L55" s="133">
        <v>4.5</v>
      </c>
      <c r="M55" s="133">
        <v>625672.86</v>
      </c>
      <c r="N55" s="133">
        <v>118020.12</v>
      </c>
    </row>
    <row r="56" s="133" customFormat="1" spans="1:14">
      <c r="A56" s="133" t="s">
        <v>36</v>
      </c>
      <c r="B56" s="191">
        <v>45748</v>
      </c>
      <c r="C56" s="133" t="s">
        <v>22</v>
      </c>
      <c r="D56" s="133" t="s">
        <v>30</v>
      </c>
      <c r="E56" s="133">
        <v>65312.49</v>
      </c>
      <c r="F56" s="133">
        <v>7189</v>
      </c>
      <c r="G56" s="133">
        <v>0.05</v>
      </c>
      <c r="H56" s="133">
        <v>19</v>
      </c>
      <c r="I56" s="133">
        <v>93.7</v>
      </c>
      <c r="J56" s="133">
        <v>7.16</v>
      </c>
      <c r="K56" s="133">
        <v>0</v>
      </c>
      <c r="L56" s="133">
        <v>4.6</v>
      </c>
      <c r="M56" s="133">
        <v>773815.14</v>
      </c>
      <c r="N56" s="133">
        <v>133948.39</v>
      </c>
    </row>
    <row r="57" s="133" customFormat="1" spans="1:14">
      <c r="A57" s="133" t="s">
        <v>37</v>
      </c>
      <c r="B57" s="191">
        <v>45658</v>
      </c>
      <c r="C57" s="133" t="s">
        <v>29</v>
      </c>
      <c r="D57" s="133" t="s">
        <v>20</v>
      </c>
      <c r="E57" s="133">
        <v>53015.46</v>
      </c>
      <c r="F57" s="133">
        <v>3279</v>
      </c>
      <c r="G57" s="133">
        <v>0.087</v>
      </c>
      <c r="H57" s="133">
        <v>9</v>
      </c>
      <c r="I57" s="133">
        <v>84.3</v>
      </c>
      <c r="J57" s="133">
        <v>22.02</v>
      </c>
      <c r="K57" s="133">
        <v>0</v>
      </c>
      <c r="L57" s="133">
        <v>3.9</v>
      </c>
      <c r="M57" s="133">
        <v>463534.25</v>
      </c>
      <c r="N57" s="133">
        <v>81834.54</v>
      </c>
    </row>
    <row r="58" s="133" customFormat="1" spans="1:14">
      <c r="A58" s="133" t="s">
        <v>37</v>
      </c>
      <c r="B58" s="191">
        <v>45689</v>
      </c>
      <c r="C58" s="133" t="s">
        <v>29</v>
      </c>
      <c r="D58" s="133" t="s">
        <v>20</v>
      </c>
      <c r="E58" s="133">
        <v>99874.01</v>
      </c>
      <c r="F58" s="133">
        <v>5887</v>
      </c>
      <c r="G58" s="133">
        <v>0.262</v>
      </c>
      <c r="H58" s="133">
        <v>14</v>
      </c>
      <c r="I58" s="133">
        <v>88.7</v>
      </c>
      <c r="J58" s="133">
        <v>6.18</v>
      </c>
      <c r="K58" s="133">
        <v>0</v>
      </c>
      <c r="L58" s="133">
        <v>4.7</v>
      </c>
      <c r="M58" s="133">
        <v>746677.75</v>
      </c>
      <c r="N58" s="133">
        <v>122437.84</v>
      </c>
    </row>
    <row r="59" s="133" customFormat="1" spans="1:14">
      <c r="A59" s="133" t="s">
        <v>37</v>
      </c>
      <c r="B59" s="191">
        <v>45717</v>
      </c>
      <c r="C59" s="133" t="s">
        <v>29</v>
      </c>
      <c r="D59" s="133" t="s">
        <v>20</v>
      </c>
      <c r="E59" s="133">
        <v>81195.5</v>
      </c>
      <c r="F59" s="133">
        <v>5516</v>
      </c>
      <c r="G59" s="133">
        <v>0.106</v>
      </c>
      <c r="H59" s="133">
        <v>14</v>
      </c>
      <c r="I59" s="133">
        <v>88</v>
      </c>
      <c r="J59" s="133">
        <v>1.76</v>
      </c>
      <c r="K59" s="133">
        <v>0</v>
      </c>
      <c r="L59" s="133">
        <v>4.3</v>
      </c>
      <c r="M59" s="133">
        <v>720852.5</v>
      </c>
      <c r="N59" s="133">
        <v>98565.62</v>
      </c>
    </row>
    <row r="60" s="133" customFormat="1" spans="1:14">
      <c r="A60" s="133" t="s">
        <v>37</v>
      </c>
      <c r="B60" s="191">
        <v>45748</v>
      </c>
      <c r="C60" s="133" t="s">
        <v>29</v>
      </c>
      <c r="D60" s="133" t="s">
        <v>20</v>
      </c>
      <c r="E60" s="133">
        <v>27808.6</v>
      </c>
      <c r="F60" s="133">
        <v>2863</v>
      </c>
      <c r="G60" s="133">
        <v>0.08</v>
      </c>
      <c r="H60" s="133">
        <v>13</v>
      </c>
      <c r="I60" s="133">
        <v>89.3</v>
      </c>
      <c r="J60" s="133">
        <v>0.47</v>
      </c>
      <c r="K60" s="133">
        <v>0</v>
      </c>
      <c r="L60" s="133">
        <v>4.1</v>
      </c>
      <c r="M60" s="133">
        <v>487464.91</v>
      </c>
      <c r="N60" s="133">
        <v>64562.26</v>
      </c>
    </row>
    <row r="61" s="133" customFormat="1" spans="1:14">
      <c r="A61" s="133" t="s">
        <v>38</v>
      </c>
      <c r="B61" s="191">
        <v>45658</v>
      </c>
      <c r="C61" s="133" t="s">
        <v>17</v>
      </c>
      <c r="D61" s="133" t="s">
        <v>23</v>
      </c>
      <c r="E61" s="133">
        <v>19365.06</v>
      </c>
      <c r="F61" s="133">
        <v>2378</v>
      </c>
      <c r="G61" s="133">
        <v>0</v>
      </c>
      <c r="H61" s="133">
        <v>12</v>
      </c>
      <c r="I61" s="133">
        <v>94.8</v>
      </c>
      <c r="J61" s="133">
        <v>0.2</v>
      </c>
      <c r="K61" s="133">
        <v>0</v>
      </c>
      <c r="L61" s="133">
        <v>3.5</v>
      </c>
      <c r="M61" s="133">
        <v>518049.26</v>
      </c>
      <c r="N61" s="133">
        <v>108592.49</v>
      </c>
    </row>
    <row r="62" s="133" customFormat="1" spans="1:14">
      <c r="A62" s="133" t="s">
        <v>38</v>
      </c>
      <c r="B62" s="191">
        <v>45689</v>
      </c>
      <c r="C62" s="133" t="s">
        <v>17</v>
      </c>
      <c r="D62" s="133" t="s">
        <v>23</v>
      </c>
      <c r="E62" s="133">
        <v>59405.68</v>
      </c>
      <c r="F62" s="133">
        <v>2515</v>
      </c>
      <c r="G62" s="133">
        <v>0.039</v>
      </c>
      <c r="H62" s="133">
        <v>12</v>
      </c>
      <c r="I62" s="133">
        <v>76</v>
      </c>
      <c r="J62" s="133">
        <v>5.11</v>
      </c>
      <c r="K62" s="133">
        <v>0</v>
      </c>
      <c r="L62" s="133">
        <v>3.7</v>
      </c>
      <c r="M62" s="133">
        <v>500298.48</v>
      </c>
      <c r="N62" s="133">
        <v>73461.32</v>
      </c>
    </row>
    <row r="63" s="133" customFormat="1" spans="1:14">
      <c r="A63" s="133" t="s">
        <v>38</v>
      </c>
      <c r="B63" s="191">
        <v>45717</v>
      </c>
      <c r="C63" s="133" t="s">
        <v>17</v>
      </c>
      <c r="D63" s="133" t="s">
        <v>23</v>
      </c>
      <c r="E63" s="133">
        <v>118910.48</v>
      </c>
      <c r="F63" s="133">
        <v>4022</v>
      </c>
      <c r="G63" s="133">
        <v>0.137</v>
      </c>
      <c r="H63" s="133">
        <v>11</v>
      </c>
      <c r="I63" s="133">
        <v>87.1</v>
      </c>
      <c r="J63" s="133">
        <v>0.2</v>
      </c>
      <c r="K63" s="133">
        <v>0</v>
      </c>
      <c r="L63" s="133">
        <v>3.1</v>
      </c>
      <c r="M63" s="133">
        <v>617291.15</v>
      </c>
      <c r="N63" s="133">
        <v>117782</v>
      </c>
    </row>
    <row r="64" s="133" customFormat="1" spans="1:14">
      <c r="A64" s="133" t="s">
        <v>38</v>
      </c>
      <c r="B64" s="191">
        <v>45748</v>
      </c>
      <c r="C64" s="133" t="s">
        <v>17</v>
      </c>
      <c r="D64" s="133" t="s">
        <v>23</v>
      </c>
      <c r="E64" s="133">
        <v>52952.12</v>
      </c>
      <c r="F64" s="133">
        <v>4377</v>
      </c>
      <c r="G64" s="133">
        <v>0.092</v>
      </c>
      <c r="H64" s="133">
        <v>14</v>
      </c>
      <c r="I64" s="133">
        <v>88.6</v>
      </c>
      <c r="J64" s="133">
        <v>13.59</v>
      </c>
      <c r="K64" s="133">
        <v>0</v>
      </c>
      <c r="L64" s="133">
        <v>3.1</v>
      </c>
      <c r="M64" s="133">
        <v>553756.43</v>
      </c>
      <c r="N64" s="133">
        <v>86166.77</v>
      </c>
    </row>
    <row r="65" s="133" customFormat="1" spans="1:14">
      <c r="A65" s="133" t="s">
        <v>39</v>
      </c>
      <c r="B65" s="191">
        <v>45658</v>
      </c>
      <c r="C65" s="133" t="s">
        <v>26</v>
      </c>
      <c r="D65" s="133" t="s">
        <v>20</v>
      </c>
      <c r="E65" s="133">
        <v>74907.98</v>
      </c>
      <c r="F65" s="133">
        <v>5306</v>
      </c>
      <c r="G65" s="133">
        <v>0.062</v>
      </c>
      <c r="H65" s="133">
        <v>16</v>
      </c>
      <c r="I65" s="133">
        <v>95.6</v>
      </c>
      <c r="J65" s="133">
        <v>1.02</v>
      </c>
      <c r="K65" s="133">
        <v>0</v>
      </c>
      <c r="L65" s="133">
        <v>3.7</v>
      </c>
      <c r="M65" s="133">
        <v>749559.71</v>
      </c>
      <c r="N65" s="133">
        <v>144522.53</v>
      </c>
    </row>
    <row r="66" s="133" customFormat="1" spans="1:14">
      <c r="A66" s="133" t="s">
        <v>39</v>
      </c>
      <c r="B66" s="191">
        <v>45689</v>
      </c>
      <c r="C66" s="133" t="s">
        <v>26</v>
      </c>
      <c r="D66" s="133" t="s">
        <v>20</v>
      </c>
      <c r="E66" s="133">
        <v>37284.66</v>
      </c>
      <c r="F66" s="133">
        <v>3928</v>
      </c>
      <c r="G66" s="133">
        <v>0.074</v>
      </c>
      <c r="H66" s="133">
        <v>12</v>
      </c>
      <c r="I66" s="133">
        <v>86.5</v>
      </c>
      <c r="J66" s="133">
        <v>1.64</v>
      </c>
      <c r="K66" s="133">
        <v>0</v>
      </c>
      <c r="L66" s="133">
        <v>3.8</v>
      </c>
      <c r="M66" s="133">
        <v>615966.48</v>
      </c>
      <c r="N66" s="133">
        <v>91509.38</v>
      </c>
    </row>
    <row r="67" s="133" customFormat="1" spans="1:14">
      <c r="A67" s="133" t="s">
        <v>39</v>
      </c>
      <c r="B67" s="191">
        <v>45717</v>
      </c>
      <c r="C67" s="133" t="s">
        <v>26</v>
      </c>
      <c r="D67" s="133" t="s">
        <v>20</v>
      </c>
      <c r="E67" s="133">
        <v>50343.19</v>
      </c>
      <c r="F67" s="133">
        <v>3845</v>
      </c>
      <c r="G67" s="133">
        <v>0.113</v>
      </c>
      <c r="H67" s="133">
        <v>9</v>
      </c>
      <c r="I67" s="133">
        <v>88.7</v>
      </c>
      <c r="J67" s="133">
        <v>5.15</v>
      </c>
      <c r="K67" s="133">
        <v>0</v>
      </c>
      <c r="L67" s="133">
        <v>3.3</v>
      </c>
      <c r="M67" s="133">
        <v>572011.2</v>
      </c>
      <c r="N67" s="133">
        <v>101409.68</v>
      </c>
    </row>
    <row r="68" s="133" customFormat="1" spans="1:14">
      <c r="A68" s="133" t="s">
        <v>39</v>
      </c>
      <c r="B68" s="191">
        <v>45748</v>
      </c>
      <c r="C68" s="133" t="s">
        <v>26</v>
      </c>
      <c r="D68" s="133" t="s">
        <v>20</v>
      </c>
      <c r="E68" s="133">
        <v>74954.47</v>
      </c>
      <c r="F68" s="133">
        <v>6620</v>
      </c>
      <c r="G68" s="133">
        <v>0.054</v>
      </c>
      <c r="H68" s="133">
        <v>17</v>
      </c>
      <c r="I68" s="133">
        <v>91.1</v>
      </c>
      <c r="J68" s="133">
        <v>1.11</v>
      </c>
      <c r="K68" s="133">
        <v>0</v>
      </c>
      <c r="L68" s="133">
        <v>3.5</v>
      </c>
      <c r="M68" s="133">
        <v>761860.19</v>
      </c>
      <c r="N68" s="133">
        <v>133279.38</v>
      </c>
    </row>
    <row r="69" s="133" customFormat="1" spans="1:14">
      <c r="A69" s="133" t="s">
        <v>40</v>
      </c>
      <c r="B69" s="191">
        <v>45658</v>
      </c>
      <c r="C69" s="133" t="s">
        <v>29</v>
      </c>
      <c r="D69" s="133" t="s">
        <v>20</v>
      </c>
      <c r="E69" s="133">
        <v>70040.31</v>
      </c>
      <c r="F69" s="133">
        <v>9175</v>
      </c>
      <c r="G69" s="133">
        <v>0.107</v>
      </c>
      <c r="H69" s="133">
        <v>23</v>
      </c>
      <c r="I69" s="133">
        <v>95.1</v>
      </c>
      <c r="J69" s="133">
        <v>6.08</v>
      </c>
      <c r="K69" s="133">
        <v>1</v>
      </c>
      <c r="L69" s="133">
        <v>3.4</v>
      </c>
      <c r="M69" s="133">
        <v>784502.68</v>
      </c>
      <c r="N69" s="133">
        <v>129519.72</v>
      </c>
    </row>
    <row r="70" s="133" customFormat="1" spans="1:14">
      <c r="A70" s="133" t="s">
        <v>40</v>
      </c>
      <c r="B70" s="191">
        <v>45689</v>
      </c>
      <c r="C70" s="133" t="s">
        <v>29</v>
      </c>
      <c r="D70" s="133" t="s">
        <v>20</v>
      </c>
      <c r="E70" s="133">
        <v>51148.69</v>
      </c>
      <c r="F70" s="133">
        <v>7940</v>
      </c>
      <c r="G70" s="133">
        <v>0.156</v>
      </c>
      <c r="H70" s="133">
        <v>18</v>
      </c>
      <c r="I70" s="133">
        <v>93.3</v>
      </c>
      <c r="J70" s="133">
        <v>10.91</v>
      </c>
      <c r="K70" s="133">
        <v>0</v>
      </c>
      <c r="L70" s="133">
        <v>3.6</v>
      </c>
      <c r="M70" s="133">
        <v>717141.55</v>
      </c>
      <c r="N70" s="133">
        <v>134013.61</v>
      </c>
    </row>
    <row r="71" s="133" customFormat="1" spans="1:14">
      <c r="A71" s="133" t="s">
        <v>40</v>
      </c>
      <c r="B71" s="191">
        <v>45717</v>
      </c>
      <c r="C71" s="133" t="s">
        <v>29</v>
      </c>
      <c r="D71" s="133" t="s">
        <v>20</v>
      </c>
      <c r="E71" s="133">
        <v>79346.1</v>
      </c>
      <c r="F71" s="133">
        <v>9628</v>
      </c>
      <c r="G71" s="133">
        <v>0.102</v>
      </c>
      <c r="H71" s="133">
        <v>20</v>
      </c>
      <c r="I71" s="133">
        <v>99</v>
      </c>
      <c r="J71" s="133">
        <v>19.01</v>
      </c>
      <c r="K71" s="133">
        <v>1</v>
      </c>
      <c r="L71" s="133">
        <v>3.2</v>
      </c>
      <c r="M71" s="133">
        <v>685379.08</v>
      </c>
      <c r="N71" s="133">
        <v>106898.82</v>
      </c>
    </row>
    <row r="72" s="133" customFormat="1" spans="1:14">
      <c r="A72" s="133" t="s">
        <v>40</v>
      </c>
      <c r="B72" s="191">
        <v>45748</v>
      </c>
      <c r="C72" s="133" t="s">
        <v>29</v>
      </c>
      <c r="D72" s="133" t="s">
        <v>20</v>
      </c>
      <c r="E72" s="133">
        <v>42018.4</v>
      </c>
      <c r="F72" s="133">
        <v>8296</v>
      </c>
      <c r="G72" s="133">
        <v>0.115</v>
      </c>
      <c r="H72" s="133">
        <v>17</v>
      </c>
      <c r="I72" s="133">
        <v>91.8</v>
      </c>
      <c r="J72" s="133">
        <v>0.77</v>
      </c>
      <c r="K72" s="133">
        <v>0</v>
      </c>
      <c r="L72" s="133">
        <v>3.4</v>
      </c>
      <c r="M72" s="133">
        <v>740496.65</v>
      </c>
      <c r="N72" s="133">
        <v>128020.9</v>
      </c>
    </row>
    <row r="73" s="133" customFormat="1" spans="1:14">
      <c r="A73" s="133" t="s">
        <v>41</v>
      </c>
      <c r="B73" s="191">
        <v>45658</v>
      </c>
      <c r="C73" s="133" t="s">
        <v>17</v>
      </c>
      <c r="D73" s="133" t="s">
        <v>20</v>
      </c>
      <c r="E73" s="133">
        <v>70937.24</v>
      </c>
      <c r="F73" s="133">
        <v>3595</v>
      </c>
      <c r="G73" s="133">
        <v>0.141</v>
      </c>
      <c r="H73" s="133">
        <v>11</v>
      </c>
      <c r="I73" s="133">
        <v>88.9</v>
      </c>
      <c r="J73" s="133">
        <v>2.83</v>
      </c>
      <c r="K73" s="133">
        <v>1</v>
      </c>
      <c r="L73" s="133">
        <v>3.3</v>
      </c>
      <c r="M73" s="133">
        <v>661927.14</v>
      </c>
      <c r="N73" s="133">
        <v>79218.57</v>
      </c>
    </row>
    <row r="74" s="133" customFormat="1" spans="1:14">
      <c r="A74" s="133" t="s">
        <v>41</v>
      </c>
      <c r="B74" s="191">
        <v>45689</v>
      </c>
      <c r="C74" s="133" t="s">
        <v>17</v>
      </c>
      <c r="D74" s="133" t="s">
        <v>20</v>
      </c>
      <c r="E74" s="133">
        <v>36813.45</v>
      </c>
      <c r="F74" s="133">
        <v>2834</v>
      </c>
      <c r="G74" s="133">
        <v>0.191</v>
      </c>
      <c r="H74" s="133">
        <v>11</v>
      </c>
      <c r="I74" s="133">
        <v>81.8</v>
      </c>
      <c r="J74" s="133">
        <v>2.33</v>
      </c>
      <c r="K74" s="133">
        <v>0</v>
      </c>
      <c r="L74" s="133">
        <v>3.3</v>
      </c>
      <c r="M74" s="133">
        <v>479050.5</v>
      </c>
      <c r="N74" s="133">
        <v>53651.11</v>
      </c>
    </row>
    <row r="75" s="133" customFormat="1" spans="1:14">
      <c r="A75" s="133" t="s">
        <v>41</v>
      </c>
      <c r="B75" s="191">
        <v>45717</v>
      </c>
      <c r="C75" s="133" t="s">
        <v>17</v>
      </c>
      <c r="D75" s="133" t="s">
        <v>20</v>
      </c>
      <c r="E75" s="133">
        <v>60571.82</v>
      </c>
      <c r="F75" s="133">
        <v>3193</v>
      </c>
      <c r="G75" s="133">
        <v>0.197</v>
      </c>
      <c r="H75" s="133">
        <v>7</v>
      </c>
      <c r="I75" s="133">
        <v>99</v>
      </c>
      <c r="J75" s="133">
        <v>1.43</v>
      </c>
      <c r="K75" s="133">
        <v>0</v>
      </c>
      <c r="L75" s="133">
        <v>3.2</v>
      </c>
      <c r="M75" s="133">
        <v>605023.87</v>
      </c>
      <c r="N75" s="133">
        <v>98545.81</v>
      </c>
    </row>
    <row r="76" s="133" customFormat="1" spans="1:14">
      <c r="A76" s="133" t="s">
        <v>41</v>
      </c>
      <c r="B76" s="191">
        <v>45748</v>
      </c>
      <c r="C76" s="133" t="s">
        <v>17</v>
      </c>
      <c r="D76" s="133" t="s">
        <v>20</v>
      </c>
      <c r="E76" s="133">
        <v>55081.16</v>
      </c>
      <c r="F76" s="133">
        <v>5485</v>
      </c>
      <c r="G76" s="133">
        <v>0.036</v>
      </c>
      <c r="H76" s="133">
        <v>12</v>
      </c>
      <c r="I76" s="133">
        <v>88</v>
      </c>
      <c r="K76" s="133">
        <v>0</v>
      </c>
      <c r="L76" s="133">
        <v>3.5</v>
      </c>
      <c r="M76" s="133">
        <v>674774.09</v>
      </c>
      <c r="N76" s="133">
        <v>141917.59</v>
      </c>
    </row>
    <row r="77" s="133" customFormat="1" spans="1:14">
      <c r="A77" s="133" t="s">
        <v>42</v>
      </c>
      <c r="B77" s="191">
        <v>45658</v>
      </c>
      <c r="C77" s="133" t="s">
        <v>17</v>
      </c>
      <c r="D77" s="133" t="s">
        <v>18</v>
      </c>
      <c r="E77" s="133">
        <v>46201.46</v>
      </c>
      <c r="F77" s="133">
        <v>5918</v>
      </c>
      <c r="G77" s="133">
        <v>0.277</v>
      </c>
      <c r="H77" s="133">
        <v>13</v>
      </c>
      <c r="I77" s="133">
        <v>78.8</v>
      </c>
      <c r="J77" s="133">
        <v>4.91</v>
      </c>
      <c r="K77" s="133">
        <v>0</v>
      </c>
      <c r="L77" s="133">
        <v>4.5</v>
      </c>
      <c r="M77" s="133">
        <v>616069.41</v>
      </c>
      <c r="N77" s="133">
        <v>54453.99</v>
      </c>
    </row>
    <row r="78" s="133" customFormat="1" spans="1:14">
      <c r="A78" s="133" t="s">
        <v>42</v>
      </c>
      <c r="B78" s="191">
        <v>45689</v>
      </c>
      <c r="C78" s="133" t="s">
        <v>17</v>
      </c>
      <c r="D78" s="133" t="s">
        <v>18</v>
      </c>
      <c r="E78" s="133">
        <v>53762.92</v>
      </c>
      <c r="F78" s="133">
        <v>6821</v>
      </c>
      <c r="G78" s="133">
        <v>0.066</v>
      </c>
      <c r="H78" s="133">
        <v>19</v>
      </c>
      <c r="I78" s="133">
        <v>94.6</v>
      </c>
      <c r="J78" s="133">
        <v>7.03</v>
      </c>
      <c r="K78" s="133">
        <v>0</v>
      </c>
      <c r="L78" s="133">
        <v>4.4</v>
      </c>
      <c r="M78" s="133">
        <v>630829.94</v>
      </c>
      <c r="N78" s="133">
        <v>117090.02</v>
      </c>
    </row>
    <row r="79" s="133" customFormat="1" spans="1:14">
      <c r="A79" s="133" t="s">
        <v>42</v>
      </c>
      <c r="B79" s="191">
        <v>45717</v>
      </c>
      <c r="C79" s="133" t="s">
        <v>17</v>
      </c>
      <c r="D79" s="133" t="s">
        <v>18</v>
      </c>
      <c r="E79" s="133">
        <v>70144.78</v>
      </c>
      <c r="F79" s="133">
        <v>6806</v>
      </c>
      <c r="G79" s="133">
        <v>0.178</v>
      </c>
      <c r="H79" s="133">
        <v>20</v>
      </c>
      <c r="I79" s="133">
        <v>93.1</v>
      </c>
      <c r="J79" s="133">
        <v>0.28</v>
      </c>
      <c r="K79" s="133">
        <v>1</v>
      </c>
      <c r="L79" s="133">
        <v>4.3</v>
      </c>
      <c r="M79" s="133">
        <v>788087.68</v>
      </c>
      <c r="N79" s="133">
        <v>116803.42</v>
      </c>
    </row>
    <row r="80" s="133" customFormat="1" spans="1:14">
      <c r="A80" s="133" t="s">
        <v>42</v>
      </c>
      <c r="B80" s="191">
        <v>45748</v>
      </c>
      <c r="C80" s="133" t="s">
        <v>17</v>
      </c>
      <c r="D80" s="133" t="s">
        <v>18</v>
      </c>
      <c r="E80" s="133">
        <v>58749.63</v>
      </c>
      <c r="F80" s="133">
        <v>8252</v>
      </c>
      <c r="G80" s="133">
        <v>0.203</v>
      </c>
      <c r="H80" s="133">
        <v>20</v>
      </c>
      <c r="I80" s="133">
        <v>85.2</v>
      </c>
      <c r="J80" s="133">
        <v>3.61</v>
      </c>
      <c r="K80" s="133">
        <v>0</v>
      </c>
      <c r="L80" s="133">
        <v>4.5</v>
      </c>
      <c r="M80" s="133">
        <v>680840.36</v>
      </c>
      <c r="N80" s="133">
        <v>68007.68</v>
      </c>
    </row>
    <row r="81" s="133" customFormat="1" spans="1:14">
      <c r="A81" s="133" t="s">
        <v>43</v>
      </c>
      <c r="B81" s="191">
        <v>45658</v>
      </c>
      <c r="C81" s="133" t="s">
        <v>26</v>
      </c>
      <c r="D81" s="133" t="s">
        <v>20</v>
      </c>
      <c r="E81" s="133">
        <v>56973.18</v>
      </c>
      <c r="F81" s="133">
        <v>6662</v>
      </c>
      <c r="G81" s="133">
        <v>0.1</v>
      </c>
      <c r="H81" s="133">
        <v>15</v>
      </c>
      <c r="I81" s="133">
        <v>77.7</v>
      </c>
      <c r="J81" s="133">
        <v>7.52</v>
      </c>
      <c r="K81" s="133">
        <v>1</v>
      </c>
      <c r="L81" s="133">
        <v>3.2</v>
      </c>
      <c r="M81" s="133">
        <v>643657.47</v>
      </c>
      <c r="N81" s="133">
        <v>87022.45</v>
      </c>
    </row>
    <row r="82" s="133" customFormat="1" spans="1:14">
      <c r="A82" s="133" t="s">
        <v>43</v>
      </c>
      <c r="B82" s="191">
        <v>45689</v>
      </c>
      <c r="C82" s="133" t="s">
        <v>26</v>
      </c>
      <c r="D82" s="133" t="s">
        <v>20</v>
      </c>
      <c r="E82" s="133">
        <v>54872.82</v>
      </c>
      <c r="F82" s="133">
        <v>5962</v>
      </c>
      <c r="G82" s="133">
        <v>0.064</v>
      </c>
      <c r="H82" s="133">
        <v>12</v>
      </c>
      <c r="I82" s="133">
        <v>85.4</v>
      </c>
      <c r="J82" s="133">
        <v>2.58</v>
      </c>
      <c r="K82" s="133">
        <v>0</v>
      </c>
      <c r="L82" s="133">
        <v>2.9</v>
      </c>
      <c r="M82" s="133">
        <v>691112.6</v>
      </c>
      <c r="N82" s="133">
        <v>109212.83</v>
      </c>
    </row>
    <row r="83" s="133" customFormat="1" spans="1:14">
      <c r="A83" s="133" t="s">
        <v>43</v>
      </c>
      <c r="B83" s="191">
        <v>45717</v>
      </c>
      <c r="C83" s="133" t="s">
        <v>26</v>
      </c>
      <c r="D83" s="133" t="s">
        <v>20</v>
      </c>
      <c r="E83" s="133">
        <v>80562.81</v>
      </c>
      <c r="F83" s="133">
        <v>7470</v>
      </c>
      <c r="G83" s="133">
        <v>0.172</v>
      </c>
      <c r="H83" s="133">
        <v>16</v>
      </c>
      <c r="I83" s="133">
        <v>83.5</v>
      </c>
      <c r="J83" s="133">
        <v>2.29</v>
      </c>
      <c r="K83" s="133">
        <v>0</v>
      </c>
      <c r="L83" s="133">
        <v>3.3</v>
      </c>
      <c r="M83" s="133">
        <v>776922.17</v>
      </c>
      <c r="N83" s="133">
        <v>150701.93</v>
      </c>
    </row>
    <row r="84" s="133" customFormat="1" spans="1:14">
      <c r="A84" s="133" t="s">
        <v>43</v>
      </c>
      <c r="B84" s="191">
        <v>45748</v>
      </c>
      <c r="C84" s="133" t="s">
        <v>26</v>
      </c>
      <c r="D84" s="133" t="s">
        <v>20</v>
      </c>
      <c r="E84" s="133">
        <v>77999.9</v>
      </c>
      <c r="F84" s="133">
        <v>5974</v>
      </c>
      <c r="G84" s="133">
        <v>0.252</v>
      </c>
      <c r="H84" s="133">
        <v>14</v>
      </c>
      <c r="I84" s="133">
        <v>81.3</v>
      </c>
      <c r="J84" s="133">
        <v>2.39</v>
      </c>
      <c r="K84" s="133">
        <v>0</v>
      </c>
      <c r="L84" s="133">
        <v>3.2</v>
      </c>
      <c r="M84" s="133">
        <v>636561.34</v>
      </c>
      <c r="N84" s="133">
        <v>93861.06</v>
      </c>
    </row>
    <row r="85" s="133" customFormat="1" spans="1:14">
      <c r="A85" s="133" t="s">
        <v>44</v>
      </c>
      <c r="B85" s="191">
        <v>45658</v>
      </c>
      <c r="C85" s="133" t="s">
        <v>29</v>
      </c>
      <c r="D85" s="133" t="s">
        <v>30</v>
      </c>
      <c r="E85" s="133">
        <v>60881.01</v>
      </c>
      <c r="F85" s="133">
        <v>5410</v>
      </c>
      <c r="G85" s="133">
        <v>0.179</v>
      </c>
      <c r="H85" s="133">
        <v>15</v>
      </c>
      <c r="I85" s="133">
        <v>83.9</v>
      </c>
      <c r="J85" s="133">
        <v>5.24</v>
      </c>
      <c r="K85" s="133">
        <v>0</v>
      </c>
      <c r="L85" s="133">
        <v>4.6</v>
      </c>
      <c r="M85" s="133">
        <v>621369.58</v>
      </c>
      <c r="N85" s="133">
        <v>85493.64</v>
      </c>
    </row>
    <row r="86" s="133" customFormat="1" spans="1:14">
      <c r="A86" s="133" t="s">
        <v>44</v>
      </c>
      <c r="B86" s="191">
        <v>45689</v>
      </c>
      <c r="C86" s="133" t="s">
        <v>29</v>
      </c>
      <c r="D86" s="133" t="s">
        <v>30</v>
      </c>
      <c r="E86" s="133">
        <v>60628.38</v>
      </c>
      <c r="F86" s="133">
        <v>4451</v>
      </c>
      <c r="G86" s="133">
        <v>0.095</v>
      </c>
      <c r="H86" s="133">
        <v>10</v>
      </c>
      <c r="I86" s="133">
        <v>89.6</v>
      </c>
      <c r="J86" s="133">
        <v>3.17</v>
      </c>
      <c r="K86" s="133">
        <v>0</v>
      </c>
      <c r="L86" s="133">
        <v>4.6</v>
      </c>
      <c r="M86" s="133">
        <v>682208.01</v>
      </c>
      <c r="N86" s="133">
        <v>110318.84</v>
      </c>
    </row>
    <row r="87" s="133" customFormat="1" spans="1:14">
      <c r="A87" s="133" t="s">
        <v>44</v>
      </c>
      <c r="B87" s="191">
        <v>45717</v>
      </c>
      <c r="C87" s="133" t="s">
        <v>29</v>
      </c>
      <c r="D87" s="133" t="s">
        <v>30</v>
      </c>
      <c r="E87" s="133">
        <v>72731.14</v>
      </c>
      <c r="F87" s="133">
        <v>4644</v>
      </c>
      <c r="G87" s="133">
        <v>0.084</v>
      </c>
      <c r="H87" s="133">
        <v>15</v>
      </c>
      <c r="I87" s="133">
        <v>87.1</v>
      </c>
      <c r="J87" s="133">
        <v>2.66</v>
      </c>
      <c r="K87" s="133">
        <v>0</v>
      </c>
      <c r="L87" s="133">
        <v>4.6</v>
      </c>
      <c r="M87" s="133">
        <v>727241.86</v>
      </c>
      <c r="N87" s="133">
        <v>155810.3</v>
      </c>
    </row>
    <row r="88" s="133" customFormat="1" spans="1:14">
      <c r="A88" s="133" t="s">
        <v>44</v>
      </c>
      <c r="B88" s="191">
        <v>45748</v>
      </c>
      <c r="C88" s="133" t="s">
        <v>29</v>
      </c>
      <c r="D88" s="133" t="s">
        <v>30</v>
      </c>
      <c r="E88" s="133">
        <v>36475.71</v>
      </c>
      <c r="F88" s="133">
        <v>3559</v>
      </c>
      <c r="G88" s="133">
        <v>0.03</v>
      </c>
      <c r="H88" s="133">
        <v>8</v>
      </c>
      <c r="I88" s="133">
        <v>83.6</v>
      </c>
      <c r="J88" s="133">
        <v>1.41</v>
      </c>
      <c r="K88" s="133">
        <v>0</v>
      </c>
      <c r="L88" s="133">
        <v>4.2</v>
      </c>
      <c r="M88" s="133">
        <v>569100.78</v>
      </c>
      <c r="N88" s="133">
        <v>104808.78</v>
      </c>
    </row>
    <row r="89" s="133" customFormat="1" spans="1:14">
      <c r="A89" s="133" t="s">
        <v>45</v>
      </c>
      <c r="B89" s="191">
        <v>45658</v>
      </c>
      <c r="C89" s="133" t="s">
        <v>29</v>
      </c>
      <c r="D89" s="133" t="s">
        <v>20</v>
      </c>
      <c r="E89" s="133">
        <v>55388.11</v>
      </c>
      <c r="F89" s="133">
        <v>3091</v>
      </c>
      <c r="G89" s="133">
        <v>0.108</v>
      </c>
      <c r="H89" s="133">
        <v>7</v>
      </c>
      <c r="I89" s="133">
        <v>85.4</v>
      </c>
      <c r="J89" s="133">
        <v>7.34</v>
      </c>
      <c r="K89" s="133">
        <v>0</v>
      </c>
      <c r="L89" s="133">
        <v>4.9</v>
      </c>
      <c r="M89" s="133">
        <v>574436.29</v>
      </c>
      <c r="N89" s="133">
        <v>80271.99</v>
      </c>
    </row>
    <row r="90" s="133" customFormat="1" spans="1:14">
      <c r="A90" s="133" t="s">
        <v>45</v>
      </c>
      <c r="B90" s="191">
        <v>45689</v>
      </c>
      <c r="C90" s="133" t="s">
        <v>29</v>
      </c>
      <c r="D90" s="133" t="s">
        <v>20</v>
      </c>
      <c r="E90" s="133">
        <v>88443.77</v>
      </c>
      <c r="F90" s="133">
        <v>4004</v>
      </c>
      <c r="G90" s="133">
        <v>0.206</v>
      </c>
      <c r="H90" s="133">
        <v>11</v>
      </c>
      <c r="I90" s="133">
        <v>91.9</v>
      </c>
      <c r="J90" s="133">
        <v>5.95</v>
      </c>
      <c r="K90" s="133">
        <v>0</v>
      </c>
      <c r="M90" s="133">
        <v>611766.72</v>
      </c>
      <c r="N90" s="133">
        <v>88275.61</v>
      </c>
    </row>
    <row r="91" s="133" customFormat="1" spans="1:14">
      <c r="A91" s="133" t="s">
        <v>45</v>
      </c>
      <c r="B91" s="191">
        <v>45717</v>
      </c>
      <c r="C91" s="133" t="s">
        <v>29</v>
      </c>
      <c r="D91" s="133" t="s">
        <v>20</v>
      </c>
      <c r="E91" s="133">
        <v>78231.91</v>
      </c>
      <c r="F91" s="133">
        <v>3788</v>
      </c>
      <c r="G91" s="133">
        <v>0.059</v>
      </c>
      <c r="H91" s="133">
        <v>11</v>
      </c>
      <c r="I91" s="133">
        <v>88.5</v>
      </c>
      <c r="J91" s="133">
        <v>15.51</v>
      </c>
      <c r="K91" s="133">
        <v>0</v>
      </c>
      <c r="L91" s="133">
        <v>4.3</v>
      </c>
      <c r="M91" s="133">
        <v>614596.32</v>
      </c>
      <c r="N91" s="133">
        <v>131199.41</v>
      </c>
    </row>
    <row r="92" s="133" customFormat="1" spans="1:14">
      <c r="A92" s="133" t="s">
        <v>45</v>
      </c>
      <c r="B92" s="191">
        <v>45748</v>
      </c>
      <c r="C92" s="133" t="s">
        <v>29</v>
      </c>
      <c r="D92" s="133" t="s">
        <v>20</v>
      </c>
      <c r="E92" s="133">
        <v>18996.32</v>
      </c>
      <c r="F92" s="133">
        <v>1260</v>
      </c>
      <c r="G92" s="133">
        <v>0.145</v>
      </c>
      <c r="H92" s="133">
        <v>9</v>
      </c>
      <c r="I92" s="133">
        <v>86.4</v>
      </c>
      <c r="J92" s="133">
        <v>4.31</v>
      </c>
      <c r="K92" s="133">
        <v>0</v>
      </c>
      <c r="L92" s="133">
        <v>4.6</v>
      </c>
      <c r="M92" s="133">
        <v>450711.92</v>
      </c>
      <c r="N92" s="133">
        <v>90043.76</v>
      </c>
    </row>
    <row r="93" s="133" customFormat="1" spans="1:14">
      <c r="A93" s="133" t="s">
        <v>46</v>
      </c>
      <c r="B93" s="191">
        <v>45658</v>
      </c>
      <c r="C93" s="133" t="s">
        <v>26</v>
      </c>
      <c r="D93" s="133" t="s">
        <v>30</v>
      </c>
      <c r="E93" s="133">
        <v>50517.94</v>
      </c>
      <c r="F93" s="133">
        <v>7024</v>
      </c>
      <c r="G93" s="133">
        <v>0.029</v>
      </c>
      <c r="H93" s="133">
        <v>18</v>
      </c>
      <c r="I93" s="133">
        <v>79.2</v>
      </c>
      <c r="J93" s="133">
        <v>6.61</v>
      </c>
      <c r="K93" s="133">
        <v>1</v>
      </c>
      <c r="L93" s="133">
        <v>4.1</v>
      </c>
      <c r="M93" s="133">
        <v>711213.46</v>
      </c>
      <c r="N93" s="133">
        <v>105863.26</v>
      </c>
    </row>
    <row r="94" s="133" customFormat="1" spans="1:14">
      <c r="A94" s="133" t="s">
        <v>46</v>
      </c>
      <c r="B94" s="191">
        <v>45689</v>
      </c>
      <c r="C94" s="133" t="s">
        <v>26</v>
      </c>
      <c r="D94" s="133" t="s">
        <v>30</v>
      </c>
      <c r="E94" s="133">
        <v>141540.29</v>
      </c>
      <c r="F94" s="133">
        <v>5400</v>
      </c>
      <c r="G94" s="133">
        <v>0.013</v>
      </c>
      <c r="H94" s="133">
        <v>12</v>
      </c>
      <c r="I94" s="133">
        <v>87</v>
      </c>
      <c r="J94" s="133">
        <v>4.26</v>
      </c>
      <c r="K94" s="133">
        <v>0</v>
      </c>
      <c r="L94" s="133">
        <v>4.5</v>
      </c>
      <c r="M94" s="133">
        <v>627171.9</v>
      </c>
      <c r="N94" s="133">
        <v>105772.75</v>
      </c>
    </row>
    <row r="95" s="133" customFormat="1" spans="1:14">
      <c r="A95" s="133" t="s">
        <v>46</v>
      </c>
      <c r="B95" s="191">
        <v>45717</v>
      </c>
      <c r="C95" s="133" t="s">
        <v>26</v>
      </c>
      <c r="D95" s="133" t="s">
        <v>30</v>
      </c>
      <c r="E95" s="133">
        <v>82116.19</v>
      </c>
      <c r="F95" s="133">
        <v>5988</v>
      </c>
      <c r="G95" s="133">
        <v>0.04</v>
      </c>
      <c r="H95" s="133">
        <v>17</v>
      </c>
      <c r="I95" s="133">
        <v>91.8</v>
      </c>
      <c r="J95" s="133">
        <v>5.75</v>
      </c>
      <c r="K95" s="133">
        <v>0</v>
      </c>
      <c r="L95" s="133">
        <v>4.7</v>
      </c>
      <c r="M95" s="133">
        <v>739852.58</v>
      </c>
      <c r="N95" s="133">
        <v>129386.43</v>
      </c>
    </row>
    <row r="96" s="133" customFormat="1" spans="1:14">
      <c r="A96" s="133" t="s">
        <v>46</v>
      </c>
      <c r="B96" s="191">
        <v>45748</v>
      </c>
      <c r="C96" s="133" t="s">
        <v>26</v>
      </c>
      <c r="D96" s="133" t="s">
        <v>30</v>
      </c>
      <c r="E96" s="133">
        <v>31207.51</v>
      </c>
      <c r="F96" s="133">
        <v>3701</v>
      </c>
      <c r="G96" s="133">
        <v>0.043</v>
      </c>
      <c r="H96" s="133">
        <v>11</v>
      </c>
      <c r="I96" s="133">
        <v>84.7</v>
      </c>
      <c r="J96" s="133">
        <v>0.33</v>
      </c>
      <c r="K96" s="133">
        <v>0</v>
      </c>
      <c r="L96" s="133">
        <v>4.3</v>
      </c>
      <c r="M96" s="133">
        <v>586307.22</v>
      </c>
      <c r="N96" s="133">
        <v>73927.85</v>
      </c>
    </row>
    <row r="97" s="133" customFormat="1" spans="1:14">
      <c r="A97" s="133" t="s">
        <v>47</v>
      </c>
      <c r="B97" s="191">
        <v>45658</v>
      </c>
      <c r="C97" s="133" t="s">
        <v>29</v>
      </c>
      <c r="D97" s="133" t="s">
        <v>18</v>
      </c>
      <c r="E97" s="133">
        <v>38966.59</v>
      </c>
      <c r="F97" s="133">
        <v>4509</v>
      </c>
      <c r="G97" s="133">
        <v>0.194</v>
      </c>
      <c r="H97" s="133">
        <v>14</v>
      </c>
      <c r="I97" s="133">
        <v>91.1</v>
      </c>
      <c r="J97" s="133">
        <v>2.92</v>
      </c>
      <c r="K97" s="133">
        <v>0</v>
      </c>
      <c r="L97" s="133">
        <v>4.6</v>
      </c>
      <c r="M97" s="133">
        <v>585937.48</v>
      </c>
      <c r="N97" s="133">
        <v>82624.2</v>
      </c>
    </row>
    <row r="98" s="133" customFormat="1" spans="1:14">
      <c r="A98" s="133" t="s">
        <v>47</v>
      </c>
      <c r="B98" s="191">
        <v>45689</v>
      </c>
      <c r="C98" s="133" t="s">
        <v>29</v>
      </c>
      <c r="D98" s="133" t="s">
        <v>18</v>
      </c>
      <c r="E98" s="133">
        <v>67439.3</v>
      </c>
      <c r="F98" s="133">
        <v>6477</v>
      </c>
      <c r="G98" s="133">
        <v>0</v>
      </c>
      <c r="H98" s="133">
        <v>16</v>
      </c>
      <c r="I98" s="133">
        <v>90.9</v>
      </c>
      <c r="J98" s="133">
        <v>1.64</v>
      </c>
      <c r="K98" s="133">
        <v>0</v>
      </c>
      <c r="L98" s="133">
        <v>4.5</v>
      </c>
      <c r="M98" s="133">
        <v>753473.55</v>
      </c>
      <c r="N98" s="133">
        <v>151527.22</v>
      </c>
    </row>
    <row r="99" s="133" customFormat="1" spans="1:14">
      <c r="A99" s="133" t="s">
        <v>47</v>
      </c>
      <c r="B99" s="191">
        <v>45717</v>
      </c>
      <c r="C99" s="133" t="s">
        <v>29</v>
      </c>
      <c r="D99" s="133" t="s">
        <v>18</v>
      </c>
      <c r="E99" s="133">
        <v>86421.88</v>
      </c>
      <c r="F99" s="133">
        <v>7970</v>
      </c>
      <c r="G99" s="133">
        <v>0.073</v>
      </c>
      <c r="H99" s="133">
        <v>17</v>
      </c>
      <c r="I99" s="133">
        <v>91.3</v>
      </c>
      <c r="J99" s="133">
        <v>0.8</v>
      </c>
      <c r="K99" s="133">
        <v>0</v>
      </c>
      <c r="L99" s="133">
        <v>5</v>
      </c>
      <c r="M99" s="133">
        <v>838250.32</v>
      </c>
      <c r="N99" s="133">
        <v>122939.34</v>
      </c>
    </row>
    <row r="100" s="133" customFormat="1" spans="1:14">
      <c r="A100" s="133" t="s">
        <v>47</v>
      </c>
      <c r="B100" s="191">
        <v>45748</v>
      </c>
      <c r="C100" s="133" t="s">
        <v>29</v>
      </c>
      <c r="D100" s="133" t="s">
        <v>18</v>
      </c>
      <c r="E100" s="133">
        <v>9534.65</v>
      </c>
      <c r="F100" s="133">
        <v>6057</v>
      </c>
      <c r="G100" s="133">
        <v>0.074</v>
      </c>
      <c r="H100" s="133">
        <v>15</v>
      </c>
      <c r="I100" s="133">
        <v>94.1</v>
      </c>
      <c r="J100" s="133">
        <v>5.79</v>
      </c>
      <c r="K100" s="133">
        <v>0</v>
      </c>
      <c r="L100" s="133">
        <v>4.5</v>
      </c>
      <c r="M100" s="133">
        <v>607898.12</v>
      </c>
      <c r="N100" s="133">
        <v>135404.85</v>
      </c>
    </row>
    <row r="101" s="133" customFormat="1" spans="1:14">
      <c r="A101" s="133" t="s">
        <v>48</v>
      </c>
      <c r="B101" s="191">
        <v>45658</v>
      </c>
      <c r="C101" s="133" t="s">
        <v>29</v>
      </c>
      <c r="D101" s="133" t="s">
        <v>30</v>
      </c>
      <c r="E101" s="133">
        <v>61132.07</v>
      </c>
      <c r="F101" s="133">
        <v>6394</v>
      </c>
      <c r="G101" s="133">
        <v>0.163</v>
      </c>
      <c r="H101" s="133">
        <v>19</v>
      </c>
      <c r="I101" s="133">
        <v>91</v>
      </c>
      <c r="J101" s="133">
        <v>19.6</v>
      </c>
      <c r="K101" s="133">
        <v>0</v>
      </c>
      <c r="L101" s="133">
        <v>4.4</v>
      </c>
      <c r="M101" s="133">
        <v>691113.62</v>
      </c>
      <c r="N101" s="133">
        <v>135145.44</v>
      </c>
    </row>
    <row r="102" s="133" customFormat="1" spans="1:14">
      <c r="A102" s="133" t="s">
        <v>48</v>
      </c>
      <c r="B102" s="191">
        <v>45689</v>
      </c>
      <c r="C102" s="133" t="s">
        <v>29</v>
      </c>
      <c r="D102" s="133" t="s">
        <v>30</v>
      </c>
      <c r="E102" s="133">
        <v>78839.39</v>
      </c>
      <c r="F102" s="133">
        <v>5150</v>
      </c>
      <c r="G102" s="133">
        <v>0.171</v>
      </c>
      <c r="H102" s="133">
        <v>13</v>
      </c>
      <c r="I102" s="133">
        <v>85.8</v>
      </c>
      <c r="J102" s="133">
        <v>7.57</v>
      </c>
      <c r="K102" s="133">
        <v>0</v>
      </c>
      <c r="L102" s="133">
        <v>4.3</v>
      </c>
      <c r="M102" s="133">
        <v>735509.4</v>
      </c>
      <c r="N102" s="133">
        <v>83895.96</v>
      </c>
    </row>
    <row r="103" s="133" customFormat="1" spans="1:14">
      <c r="A103" s="133" t="s">
        <v>48</v>
      </c>
      <c r="B103" s="191">
        <v>45717</v>
      </c>
      <c r="C103" s="133" t="s">
        <v>29</v>
      </c>
      <c r="D103" s="133" t="s">
        <v>30</v>
      </c>
      <c r="E103" s="133">
        <v>38752.8</v>
      </c>
      <c r="F103" s="133">
        <v>4712</v>
      </c>
      <c r="G103" s="133">
        <v>0.075</v>
      </c>
      <c r="H103" s="133">
        <v>15</v>
      </c>
      <c r="I103" s="133">
        <v>89.7</v>
      </c>
      <c r="K103" s="133">
        <v>0</v>
      </c>
      <c r="L103" s="133">
        <v>4.3</v>
      </c>
      <c r="M103" s="133">
        <v>605775.33</v>
      </c>
      <c r="N103" s="133">
        <v>107194.6</v>
      </c>
    </row>
    <row r="104" s="133" customFormat="1" spans="1:14">
      <c r="A104" s="133" t="s">
        <v>48</v>
      </c>
      <c r="B104" s="191">
        <v>45748</v>
      </c>
      <c r="C104" s="133" t="s">
        <v>29</v>
      </c>
      <c r="D104" s="133" t="s">
        <v>30</v>
      </c>
      <c r="E104" s="133">
        <v>55101.1</v>
      </c>
      <c r="F104" s="133">
        <v>5281</v>
      </c>
      <c r="G104" s="133">
        <v>0.189</v>
      </c>
      <c r="H104" s="133">
        <v>11</v>
      </c>
      <c r="I104" s="133">
        <v>91</v>
      </c>
      <c r="J104" s="133">
        <v>2.7</v>
      </c>
      <c r="K104" s="133">
        <v>0</v>
      </c>
      <c r="L104" s="133">
        <v>4.4</v>
      </c>
      <c r="M104" s="133">
        <v>675177.68</v>
      </c>
      <c r="N104" s="133">
        <v>105628.68</v>
      </c>
    </row>
    <row r="105" s="133" customFormat="1" spans="1:14">
      <c r="A105" s="133" t="s">
        <v>49</v>
      </c>
      <c r="B105" s="191">
        <v>45658</v>
      </c>
      <c r="C105" s="133" t="s">
        <v>17</v>
      </c>
      <c r="D105" s="133" t="s">
        <v>30</v>
      </c>
      <c r="E105" s="133">
        <v>53084.76</v>
      </c>
      <c r="F105" s="133">
        <v>3642</v>
      </c>
      <c r="G105" s="133">
        <v>0.15</v>
      </c>
      <c r="H105" s="133">
        <v>12</v>
      </c>
      <c r="I105" s="133">
        <v>91.4</v>
      </c>
      <c r="J105" s="133">
        <v>0.2</v>
      </c>
      <c r="K105" s="133">
        <v>0</v>
      </c>
      <c r="L105" s="133">
        <v>4.4</v>
      </c>
      <c r="M105" s="133">
        <v>635181.35</v>
      </c>
      <c r="N105" s="133">
        <v>83341.25</v>
      </c>
    </row>
    <row r="106" s="133" customFormat="1" spans="1:14">
      <c r="A106" s="133" t="s">
        <v>49</v>
      </c>
      <c r="B106" s="191">
        <v>45689</v>
      </c>
      <c r="C106" s="133" t="s">
        <v>17</v>
      </c>
      <c r="D106" s="133" t="s">
        <v>30</v>
      </c>
      <c r="E106" s="133">
        <v>63101.59</v>
      </c>
      <c r="F106" s="133">
        <v>4373</v>
      </c>
      <c r="G106" s="133">
        <v>0.173</v>
      </c>
      <c r="H106" s="133">
        <v>14</v>
      </c>
      <c r="I106" s="133">
        <v>90.4</v>
      </c>
      <c r="J106" s="133">
        <v>7.87</v>
      </c>
      <c r="K106" s="133">
        <v>0</v>
      </c>
      <c r="L106" s="133">
        <v>4.7</v>
      </c>
      <c r="M106" s="133">
        <v>586626.94</v>
      </c>
      <c r="N106" s="133">
        <v>86498.55</v>
      </c>
    </row>
    <row r="107" s="133" customFormat="1" spans="1:14">
      <c r="A107" s="133" t="s">
        <v>49</v>
      </c>
      <c r="B107" s="191">
        <v>45717</v>
      </c>
      <c r="C107" s="133" t="s">
        <v>17</v>
      </c>
      <c r="D107" s="133" t="s">
        <v>30</v>
      </c>
      <c r="E107" s="133">
        <v>90084.4</v>
      </c>
      <c r="F107" s="133">
        <v>6832</v>
      </c>
      <c r="G107" s="133">
        <v>0.185</v>
      </c>
      <c r="H107" s="133">
        <v>14</v>
      </c>
      <c r="I107" s="133">
        <v>80.5</v>
      </c>
      <c r="J107" s="133">
        <v>0.77</v>
      </c>
      <c r="K107" s="133">
        <v>1</v>
      </c>
      <c r="L107" s="133">
        <v>4.4</v>
      </c>
      <c r="M107" s="133">
        <v>740102.64</v>
      </c>
      <c r="N107" s="133">
        <v>114299.07</v>
      </c>
    </row>
    <row r="108" s="133" customFormat="1" spans="1:14">
      <c r="A108" s="133" t="s">
        <v>49</v>
      </c>
      <c r="B108" s="191">
        <v>45748</v>
      </c>
      <c r="C108" s="133" t="s">
        <v>17</v>
      </c>
      <c r="D108" s="133" t="s">
        <v>30</v>
      </c>
      <c r="E108" s="133">
        <v>32266.64</v>
      </c>
      <c r="F108" s="133">
        <v>2414</v>
      </c>
      <c r="G108" s="133">
        <v>0.08</v>
      </c>
      <c r="H108" s="133">
        <v>7</v>
      </c>
      <c r="I108" s="133">
        <v>92.1</v>
      </c>
      <c r="J108" s="133">
        <v>1.48</v>
      </c>
      <c r="K108" s="133">
        <v>0</v>
      </c>
      <c r="L108" s="133">
        <v>5</v>
      </c>
      <c r="M108" s="133">
        <v>625514.04</v>
      </c>
      <c r="N108" s="133">
        <v>120685.08</v>
      </c>
    </row>
    <row r="109" s="133" customFormat="1" spans="1:14">
      <c r="A109" s="133" t="s">
        <v>50</v>
      </c>
      <c r="B109" s="191">
        <v>45658</v>
      </c>
      <c r="C109" s="133" t="s">
        <v>29</v>
      </c>
      <c r="D109" s="133" t="s">
        <v>20</v>
      </c>
      <c r="E109" s="133">
        <v>57919.07</v>
      </c>
      <c r="F109" s="133">
        <v>7374</v>
      </c>
      <c r="G109" s="133">
        <v>0.103</v>
      </c>
      <c r="H109" s="133">
        <v>21</v>
      </c>
      <c r="I109" s="133">
        <v>82.3</v>
      </c>
      <c r="J109" s="133">
        <v>2.87</v>
      </c>
      <c r="K109" s="133">
        <v>0</v>
      </c>
      <c r="L109" s="133">
        <v>2.9</v>
      </c>
      <c r="M109" s="133">
        <v>727227.2</v>
      </c>
      <c r="N109" s="133">
        <v>121292.01</v>
      </c>
    </row>
    <row r="110" s="133" customFormat="1" spans="1:14">
      <c r="A110" s="133" t="s">
        <v>50</v>
      </c>
      <c r="B110" s="191">
        <v>45689</v>
      </c>
      <c r="C110" s="133" t="s">
        <v>29</v>
      </c>
      <c r="D110" s="133" t="s">
        <v>20</v>
      </c>
      <c r="E110" s="133">
        <v>74679.35</v>
      </c>
      <c r="F110" s="133">
        <v>8739</v>
      </c>
      <c r="G110" s="133">
        <v>0.056</v>
      </c>
      <c r="H110" s="133">
        <v>21</v>
      </c>
      <c r="I110" s="133">
        <v>91.8</v>
      </c>
      <c r="J110" s="133">
        <v>2.83</v>
      </c>
      <c r="K110" s="133">
        <v>0</v>
      </c>
      <c r="L110" s="133">
        <v>3</v>
      </c>
      <c r="M110" s="133">
        <v>783797.89</v>
      </c>
      <c r="N110" s="133">
        <v>157620.7</v>
      </c>
    </row>
    <row r="111" s="133" customFormat="1" spans="1:14">
      <c r="A111" s="133" t="s">
        <v>50</v>
      </c>
      <c r="B111" s="191">
        <v>45717</v>
      </c>
      <c r="C111" s="133" t="s">
        <v>29</v>
      </c>
      <c r="D111" s="133" t="s">
        <v>20</v>
      </c>
      <c r="E111" s="133">
        <v>64294.23</v>
      </c>
      <c r="F111" s="133">
        <v>6992</v>
      </c>
      <c r="G111" s="133">
        <v>0.133</v>
      </c>
      <c r="H111" s="133">
        <v>14</v>
      </c>
      <c r="I111" s="133">
        <v>94.1</v>
      </c>
      <c r="J111" s="133">
        <v>0.25</v>
      </c>
      <c r="K111" s="133">
        <v>0</v>
      </c>
      <c r="L111" s="133">
        <v>3</v>
      </c>
      <c r="M111" s="133">
        <v>795153.84</v>
      </c>
      <c r="N111" s="133">
        <v>143194.21</v>
      </c>
    </row>
    <row r="112" s="133" customFormat="1" spans="1:14">
      <c r="A112" s="133" t="s">
        <v>50</v>
      </c>
      <c r="B112" s="191">
        <v>45748</v>
      </c>
      <c r="C112" s="133" t="s">
        <v>29</v>
      </c>
      <c r="D112" s="133" t="s">
        <v>20</v>
      </c>
      <c r="E112" s="133">
        <v>31042.03</v>
      </c>
      <c r="F112" s="133">
        <v>7107</v>
      </c>
      <c r="G112" s="133">
        <v>0.051</v>
      </c>
      <c r="H112" s="133">
        <v>15</v>
      </c>
      <c r="I112" s="133">
        <v>87</v>
      </c>
      <c r="J112" s="133">
        <v>13.33</v>
      </c>
      <c r="K112" s="133">
        <v>0</v>
      </c>
      <c r="L112" s="133">
        <v>3.2</v>
      </c>
      <c r="M112" s="133">
        <v>665594.94</v>
      </c>
      <c r="N112" s="133">
        <v>127597.34</v>
      </c>
    </row>
    <row r="113" s="133" customFormat="1" spans="1:14">
      <c r="A113" s="133" t="s">
        <v>51</v>
      </c>
      <c r="B113" s="191">
        <v>45658</v>
      </c>
      <c r="C113" s="133" t="s">
        <v>17</v>
      </c>
      <c r="D113" s="133" t="s">
        <v>30</v>
      </c>
      <c r="E113" s="133">
        <v>75265.02</v>
      </c>
      <c r="F113" s="133">
        <v>6975</v>
      </c>
      <c r="G113" s="133">
        <v>0.157</v>
      </c>
      <c r="H113" s="133">
        <v>20</v>
      </c>
      <c r="I113" s="133">
        <v>73.8</v>
      </c>
      <c r="J113" s="133">
        <v>6.35</v>
      </c>
      <c r="K113" s="133">
        <v>1</v>
      </c>
      <c r="L113" s="133">
        <v>3.8</v>
      </c>
      <c r="M113" s="133">
        <v>709478.39</v>
      </c>
      <c r="N113" s="133">
        <v>71294.27</v>
      </c>
    </row>
    <row r="114" s="133" customFormat="1" spans="1:14">
      <c r="A114" s="133" t="s">
        <v>51</v>
      </c>
      <c r="B114" s="191">
        <v>45689</v>
      </c>
      <c r="C114" s="133" t="s">
        <v>17</v>
      </c>
      <c r="D114" s="133" t="s">
        <v>30</v>
      </c>
      <c r="E114" s="133">
        <v>69411.7</v>
      </c>
      <c r="F114" s="133">
        <v>5493</v>
      </c>
      <c r="G114" s="133">
        <v>0.292</v>
      </c>
      <c r="H114" s="133">
        <v>13</v>
      </c>
      <c r="I114" s="133">
        <v>86.5</v>
      </c>
      <c r="J114" s="133">
        <v>6.69</v>
      </c>
      <c r="K114" s="133">
        <v>0</v>
      </c>
      <c r="L114" s="133">
        <v>3.8</v>
      </c>
      <c r="M114" s="133">
        <v>664162.49</v>
      </c>
      <c r="N114" s="133">
        <v>98291.06</v>
      </c>
    </row>
    <row r="115" s="133" customFormat="1" spans="1:14">
      <c r="A115" s="133" t="s">
        <v>51</v>
      </c>
      <c r="B115" s="191">
        <v>45717</v>
      </c>
      <c r="C115" s="133" t="s">
        <v>17</v>
      </c>
      <c r="D115" s="133" t="s">
        <v>30</v>
      </c>
      <c r="E115" s="133">
        <v>51056.15</v>
      </c>
      <c r="F115" s="133">
        <v>5686</v>
      </c>
      <c r="G115" s="133">
        <v>0.089</v>
      </c>
      <c r="H115" s="133">
        <v>13</v>
      </c>
      <c r="I115" s="133">
        <v>89.9</v>
      </c>
      <c r="J115" s="133">
        <v>1.28</v>
      </c>
      <c r="K115" s="133">
        <v>0</v>
      </c>
      <c r="L115" s="133">
        <v>4.2</v>
      </c>
      <c r="M115" s="133">
        <v>633494.21</v>
      </c>
      <c r="N115" s="133">
        <v>105739.47</v>
      </c>
    </row>
    <row r="116" s="133" customFormat="1" spans="1:14">
      <c r="A116" s="133" t="s">
        <v>51</v>
      </c>
      <c r="B116" s="191">
        <v>45748</v>
      </c>
      <c r="C116" s="133" t="s">
        <v>17</v>
      </c>
      <c r="D116" s="133" t="s">
        <v>30</v>
      </c>
      <c r="E116" s="133">
        <v>52758.01</v>
      </c>
      <c r="F116" s="133">
        <v>4063</v>
      </c>
      <c r="G116" s="133">
        <v>0.057</v>
      </c>
      <c r="H116" s="133">
        <v>12</v>
      </c>
      <c r="I116" s="133">
        <v>91.7</v>
      </c>
      <c r="J116" s="133">
        <v>0.92</v>
      </c>
      <c r="K116" s="133">
        <v>0</v>
      </c>
      <c r="L116" s="133">
        <v>3.5</v>
      </c>
      <c r="M116" s="133">
        <v>713611.16</v>
      </c>
      <c r="N116" s="133">
        <v>129717.18</v>
      </c>
    </row>
    <row r="117" s="133" customFormat="1" spans="1:14">
      <c r="A117" s="133" t="s">
        <v>52</v>
      </c>
      <c r="B117" s="191">
        <v>45658</v>
      </c>
      <c r="C117" s="133" t="s">
        <v>29</v>
      </c>
      <c r="D117" s="133" t="s">
        <v>30</v>
      </c>
      <c r="E117" s="133">
        <v>61426.04</v>
      </c>
      <c r="F117" s="133">
        <v>8966</v>
      </c>
      <c r="G117" s="133">
        <v>0.173</v>
      </c>
      <c r="H117" s="133">
        <v>22</v>
      </c>
      <c r="I117" s="133">
        <v>76.4</v>
      </c>
      <c r="J117" s="133">
        <v>1.05</v>
      </c>
      <c r="K117" s="133">
        <v>0</v>
      </c>
      <c r="L117" s="133">
        <v>3.1</v>
      </c>
      <c r="M117" s="133">
        <v>778397.97</v>
      </c>
      <c r="N117" s="133">
        <v>120044.41</v>
      </c>
    </row>
    <row r="118" s="133" customFormat="1" spans="1:14">
      <c r="A118" s="133" t="s">
        <v>52</v>
      </c>
      <c r="B118" s="191">
        <v>45689</v>
      </c>
      <c r="C118" s="133" t="s">
        <v>29</v>
      </c>
      <c r="D118" s="133" t="s">
        <v>30</v>
      </c>
      <c r="E118" s="133">
        <v>80176.34</v>
      </c>
      <c r="F118" s="133">
        <v>9489</v>
      </c>
      <c r="G118" s="133">
        <v>0.142</v>
      </c>
      <c r="H118" s="133">
        <v>22</v>
      </c>
      <c r="I118" s="133">
        <v>94.3</v>
      </c>
      <c r="J118" s="133">
        <v>2.67</v>
      </c>
      <c r="K118" s="133">
        <v>0</v>
      </c>
      <c r="L118" s="133">
        <v>3.5</v>
      </c>
      <c r="M118" s="133">
        <v>873380.02</v>
      </c>
      <c r="N118" s="133">
        <v>149734.76</v>
      </c>
    </row>
    <row r="119" s="133" customFormat="1" spans="1:14">
      <c r="A119" s="133" t="s">
        <v>52</v>
      </c>
      <c r="B119" s="191">
        <v>45717</v>
      </c>
      <c r="C119" s="133" t="s">
        <v>29</v>
      </c>
      <c r="D119" s="133" t="s">
        <v>30</v>
      </c>
      <c r="E119" s="133">
        <v>33605.18</v>
      </c>
      <c r="F119" s="133">
        <v>9225</v>
      </c>
      <c r="G119" s="133">
        <v>0.159</v>
      </c>
      <c r="H119" s="133">
        <v>23</v>
      </c>
      <c r="I119" s="133">
        <v>88.4</v>
      </c>
      <c r="J119" s="133">
        <v>5.91</v>
      </c>
      <c r="K119" s="133">
        <v>0</v>
      </c>
      <c r="L119" s="133">
        <v>2.8</v>
      </c>
      <c r="M119" s="133">
        <v>697287.9</v>
      </c>
      <c r="N119" s="133">
        <v>128208.33</v>
      </c>
    </row>
    <row r="120" s="133" customFormat="1" spans="1:14">
      <c r="A120" s="133" t="s">
        <v>52</v>
      </c>
      <c r="B120" s="191">
        <v>45748</v>
      </c>
      <c r="C120" s="133" t="s">
        <v>29</v>
      </c>
      <c r="D120" s="133" t="s">
        <v>30</v>
      </c>
      <c r="E120" s="133">
        <v>25990.54</v>
      </c>
      <c r="F120" s="133">
        <v>9249</v>
      </c>
      <c r="G120" s="133">
        <v>0.139</v>
      </c>
      <c r="H120" s="133">
        <v>23</v>
      </c>
      <c r="I120" s="133">
        <v>92.5</v>
      </c>
      <c r="J120" s="133">
        <v>6.37</v>
      </c>
      <c r="K120" s="133">
        <v>0</v>
      </c>
      <c r="L120" s="133">
        <v>3.3</v>
      </c>
      <c r="M120" s="133">
        <v>718074.79</v>
      </c>
      <c r="N120" s="133">
        <v>115819.87</v>
      </c>
    </row>
    <row r="121" s="133" customFormat="1" spans="1:14">
      <c r="A121" s="133" t="s">
        <v>53</v>
      </c>
      <c r="B121" s="191">
        <v>45658</v>
      </c>
      <c r="C121" s="133" t="s">
        <v>29</v>
      </c>
      <c r="D121" s="133" t="s">
        <v>18</v>
      </c>
      <c r="E121" s="133">
        <v>43685.14</v>
      </c>
      <c r="F121" s="133">
        <v>7821</v>
      </c>
      <c r="G121" s="133">
        <v>0.19</v>
      </c>
      <c r="H121" s="133">
        <v>17</v>
      </c>
      <c r="I121" s="133">
        <v>91</v>
      </c>
      <c r="J121" s="133">
        <v>2.49</v>
      </c>
      <c r="K121" s="133">
        <v>1</v>
      </c>
      <c r="L121" s="133">
        <v>4.7</v>
      </c>
      <c r="M121" s="133">
        <v>714942.43</v>
      </c>
      <c r="N121" s="133">
        <v>94697.71</v>
      </c>
    </row>
    <row r="122" s="133" customFormat="1" spans="1:14">
      <c r="A122" s="133" t="s">
        <v>53</v>
      </c>
      <c r="B122" s="191">
        <v>45689</v>
      </c>
      <c r="C122" s="133" t="s">
        <v>29</v>
      </c>
      <c r="D122" s="133" t="s">
        <v>18</v>
      </c>
      <c r="E122" s="133">
        <v>57360.01</v>
      </c>
      <c r="F122" s="133">
        <v>8434</v>
      </c>
      <c r="G122" s="133">
        <v>0.151</v>
      </c>
      <c r="H122" s="133">
        <v>19</v>
      </c>
      <c r="I122" s="133">
        <v>84.1</v>
      </c>
      <c r="J122" s="133">
        <v>1.56</v>
      </c>
      <c r="K122" s="133">
        <v>0</v>
      </c>
      <c r="L122" s="133">
        <v>4.7</v>
      </c>
      <c r="M122" s="133">
        <v>820519.04</v>
      </c>
      <c r="N122" s="133">
        <v>99035.88</v>
      </c>
    </row>
    <row r="123" s="133" customFormat="1" spans="1:14">
      <c r="A123" s="133" t="s">
        <v>53</v>
      </c>
      <c r="B123" s="191">
        <v>45717</v>
      </c>
      <c r="C123" s="133" t="s">
        <v>29</v>
      </c>
      <c r="D123" s="133" t="s">
        <v>18</v>
      </c>
      <c r="E123" s="133">
        <v>42415.47</v>
      </c>
      <c r="F123" s="133">
        <v>8512</v>
      </c>
      <c r="G123" s="133">
        <v>0.133</v>
      </c>
      <c r="H123" s="133">
        <v>18</v>
      </c>
      <c r="I123" s="133">
        <v>96.8</v>
      </c>
      <c r="J123" s="133">
        <v>14.95</v>
      </c>
      <c r="K123" s="133">
        <v>0</v>
      </c>
      <c r="L123" s="133">
        <v>4.6</v>
      </c>
      <c r="M123" s="133">
        <v>684217.32</v>
      </c>
      <c r="N123" s="133">
        <v>136217.19</v>
      </c>
    </row>
    <row r="124" s="133" customFormat="1" spans="1:14">
      <c r="A124" s="133" t="s">
        <v>53</v>
      </c>
      <c r="B124" s="191">
        <v>45748</v>
      </c>
      <c r="C124" s="133" t="s">
        <v>29</v>
      </c>
      <c r="D124" s="133" t="s">
        <v>18</v>
      </c>
      <c r="E124" s="133">
        <v>54968.98</v>
      </c>
      <c r="F124" s="133">
        <v>7816</v>
      </c>
      <c r="G124" s="133">
        <v>0.232</v>
      </c>
      <c r="H124" s="133">
        <v>19</v>
      </c>
      <c r="I124" s="133">
        <v>95.7</v>
      </c>
      <c r="J124" s="133">
        <v>7.85</v>
      </c>
      <c r="K124" s="133">
        <v>0</v>
      </c>
      <c r="L124" s="133">
        <v>4.7</v>
      </c>
      <c r="M124" s="133">
        <v>735480.19</v>
      </c>
      <c r="N124" s="133">
        <v>88342.11</v>
      </c>
    </row>
    <row r="125" s="133" customFormat="1" spans="1:14">
      <c r="A125" s="133" t="s">
        <v>54</v>
      </c>
      <c r="B125" s="191">
        <v>45658</v>
      </c>
      <c r="C125" s="133" t="s">
        <v>22</v>
      </c>
      <c r="D125" s="133" t="s">
        <v>20</v>
      </c>
      <c r="E125" s="133">
        <v>43896.13</v>
      </c>
      <c r="F125" s="133">
        <v>3853</v>
      </c>
      <c r="G125" s="133">
        <v>0.088</v>
      </c>
      <c r="H125" s="133">
        <v>13</v>
      </c>
      <c r="I125" s="133">
        <v>83</v>
      </c>
      <c r="J125" s="133">
        <v>6.8</v>
      </c>
      <c r="K125" s="133">
        <v>0</v>
      </c>
      <c r="L125" s="133">
        <v>4.4</v>
      </c>
      <c r="M125" s="133">
        <v>509484.81</v>
      </c>
      <c r="N125" s="133">
        <v>85742.36</v>
      </c>
    </row>
    <row r="126" s="133" customFormat="1" spans="1:14">
      <c r="A126" s="133" t="s">
        <v>54</v>
      </c>
      <c r="B126" s="191">
        <v>45689</v>
      </c>
      <c r="C126" s="133" t="s">
        <v>22</v>
      </c>
      <c r="D126" s="133" t="s">
        <v>20</v>
      </c>
      <c r="E126" s="133">
        <v>83044.17</v>
      </c>
      <c r="F126" s="133">
        <v>3694</v>
      </c>
      <c r="G126" s="133">
        <v>0</v>
      </c>
      <c r="H126" s="133">
        <v>14</v>
      </c>
      <c r="I126" s="133">
        <v>89.4</v>
      </c>
      <c r="J126" s="133">
        <v>2.2</v>
      </c>
      <c r="K126" s="133">
        <v>0</v>
      </c>
      <c r="L126" s="133">
        <v>3.7</v>
      </c>
      <c r="M126" s="133">
        <v>654317.09</v>
      </c>
      <c r="N126" s="133">
        <v>121446.89</v>
      </c>
    </row>
    <row r="127" s="133" customFormat="1" spans="1:14">
      <c r="A127" s="133" t="s">
        <v>54</v>
      </c>
      <c r="B127" s="191">
        <v>45717</v>
      </c>
      <c r="C127" s="133" t="s">
        <v>22</v>
      </c>
      <c r="D127" s="133" t="s">
        <v>20</v>
      </c>
      <c r="E127" s="133">
        <v>48396.13</v>
      </c>
      <c r="F127" s="133">
        <v>4423</v>
      </c>
      <c r="G127" s="133">
        <v>0.069</v>
      </c>
      <c r="H127" s="133">
        <v>15</v>
      </c>
      <c r="I127" s="133">
        <v>85.7</v>
      </c>
      <c r="J127" s="133">
        <v>1.88</v>
      </c>
      <c r="K127" s="133">
        <v>0</v>
      </c>
      <c r="L127" s="133">
        <v>3.9</v>
      </c>
      <c r="M127" s="133">
        <v>557487.26</v>
      </c>
      <c r="N127" s="133">
        <v>76432.19</v>
      </c>
    </row>
    <row r="128" s="133" customFormat="1" spans="1:14">
      <c r="A128" s="133" t="s">
        <v>54</v>
      </c>
      <c r="B128" s="191">
        <v>45748</v>
      </c>
      <c r="C128" s="133" t="s">
        <v>22</v>
      </c>
      <c r="D128" s="133" t="s">
        <v>20</v>
      </c>
      <c r="E128" s="133">
        <v>19063.48</v>
      </c>
      <c r="F128" s="133">
        <v>1906</v>
      </c>
      <c r="G128" s="133">
        <v>0.216</v>
      </c>
      <c r="H128" s="133">
        <v>10</v>
      </c>
      <c r="I128" s="133">
        <v>97.8</v>
      </c>
      <c r="J128" s="133">
        <v>15.79</v>
      </c>
      <c r="K128" s="133">
        <v>0</v>
      </c>
      <c r="L128" s="133">
        <v>4.4</v>
      </c>
      <c r="M128" s="133">
        <v>441275.42</v>
      </c>
      <c r="N128" s="133">
        <v>58234.87</v>
      </c>
    </row>
    <row r="129" s="133" customFormat="1" spans="1:14">
      <c r="A129" s="133" t="s">
        <v>55</v>
      </c>
      <c r="B129" s="191">
        <v>45658</v>
      </c>
      <c r="C129" s="133" t="s">
        <v>26</v>
      </c>
      <c r="D129" s="133" t="s">
        <v>20</v>
      </c>
      <c r="E129" s="133">
        <v>61541.21</v>
      </c>
      <c r="F129" s="133">
        <v>10396</v>
      </c>
      <c r="G129" s="133">
        <v>0.123</v>
      </c>
      <c r="H129" s="133">
        <v>25</v>
      </c>
      <c r="I129" s="133">
        <v>88.1</v>
      </c>
      <c r="J129" s="133">
        <v>2.34</v>
      </c>
      <c r="K129" s="133">
        <v>1</v>
      </c>
      <c r="L129" s="133">
        <v>4.8</v>
      </c>
      <c r="M129" s="133">
        <v>914544.17</v>
      </c>
      <c r="N129" s="133">
        <v>79831.73</v>
      </c>
    </row>
    <row r="130" s="133" customFormat="1" spans="1:14">
      <c r="A130" s="133" t="s">
        <v>55</v>
      </c>
      <c r="B130" s="191">
        <v>45689</v>
      </c>
      <c r="C130" s="133" t="s">
        <v>26</v>
      </c>
      <c r="D130" s="133" t="s">
        <v>20</v>
      </c>
      <c r="E130" s="133">
        <v>44747</v>
      </c>
      <c r="F130" s="133">
        <v>11076</v>
      </c>
      <c r="G130" s="133">
        <v>0.176</v>
      </c>
      <c r="H130" s="133">
        <v>27</v>
      </c>
      <c r="I130" s="133">
        <v>98.3</v>
      </c>
      <c r="J130" s="133">
        <v>0.54</v>
      </c>
      <c r="K130" s="133">
        <v>0</v>
      </c>
      <c r="L130" s="133">
        <v>4.4</v>
      </c>
      <c r="M130" s="133">
        <v>842439.67</v>
      </c>
      <c r="N130" s="133">
        <v>169983.63</v>
      </c>
    </row>
    <row r="131" s="133" customFormat="1" spans="1:14">
      <c r="A131" s="133" t="s">
        <v>55</v>
      </c>
      <c r="B131" s="191">
        <v>45717</v>
      </c>
      <c r="C131" s="133" t="s">
        <v>26</v>
      </c>
      <c r="D131" s="133" t="s">
        <v>20</v>
      </c>
      <c r="E131" s="133">
        <v>56517.9</v>
      </c>
      <c r="F131" s="133">
        <v>9574</v>
      </c>
      <c r="G131" s="133">
        <v>0.204</v>
      </c>
      <c r="H131" s="133">
        <v>20</v>
      </c>
      <c r="I131" s="133">
        <v>88.2</v>
      </c>
      <c r="J131" s="133">
        <v>5.37</v>
      </c>
      <c r="K131" s="133">
        <v>1</v>
      </c>
      <c r="L131" s="133">
        <v>4.9</v>
      </c>
      <c r="M131" s="133">
        <v>842157.92</v>
      </c>
      <c r="N131" s="133">
        <v>107348.22</v>
      </c>
    </row>
    <row r="132" s="133" customFormat="1" spans="1:14">
      <c r="A132" s="133" t="s">
        <v>55</v>
      </c>
      <c r="B132" s="191">
        <v>45748</v>
      </c>
      <c r="C132" s="133" t="s">
        <v>26</v>
      </c>
      <c r="D132" s="133" t="s">
        <v>20</v>
      </c>
      <c r="E132" s="133">
        <v>37828.5</v>
      </c>
      <c r="F132" s="133">
        <v>8221</v>
      </c>
      <c r="G132" s="133">
        <v>0.096</v>
      </c>
      <c r="H132" s="133">
        <v>19</v>
      </c>
      <c r="I132" s="133">
        <v>81.5</v>
      </c>
      <c r="J132" s="133">
        <v>3.19</v>
      </c>
      <c r="K132" s="133">
        <v>0</v>
      </c>
      <c r="L132" s="133">
        <v>4.8</v>
      </c>
      <c r="M132" s="133">
        <v>697155.3</v>
      </c>
      <c r="N132" s="133">
        <v>136408.54</v>
      </c>
    </row>
    <row r="133" s="133" customFormat="1" spans="1:14">
      <c r="A133" s="133" t="s">
        <v>56</v>
      </c>
      <c r="B133" s="191">
        <v>45658</v>
      </c>
      <c r="C133" s="133" t="s">
        <v>17</v>
      </c>
      <c r="D133" s="133" t="s">
        <v>20</v>
      </c>
      <c r="E133" s="133">
        <v>66250.53</v>
      </c>
      <c r="F133" s="133">
        <v>10618</v>
      </c>
      <c r="G133" s="133">
        <v>0.142</v>
      </c>
      <c r="H133" s="133">
        <v>27</v>
      </c>
      <c r="I133" s="133">
        <v>88.3</v>
      </c>
      <c r="J133" s="133">
        <v>1.1</v>
      </c>
      <c r="K133" s="133">
        <v>1</v>
      </c>
      <c r="L133" s="133">
        <v>4.4</v>
      </c>
      <c r="M133" s="133">
        <v>849018.3</v>
      </c>
      <c r="N133" s="133">
        <v>149035.13</v>
      </c>
    </row>
    <row r="134" s="133" customFormat="1" spans="1:14">
      <c r="A134" s="133" t="s">
        <v>56</v>
      </c>
      <c r="B134" s="191">
        <v>45689</v>
      </c>
      <c r="C134" s="133" t="s">
        <v>17</v>
      </c>
      <c r="D134" s="133" t="s">
        <v>20</v>
      </c>
      <c r="E134" s="133">
        <v>68410.93</v>
      </c>
      <c r="F134" s="133">
        <v>10596</v>
      </c>
      <c r="G134" s="133">
        <v>0.207</v>
      </c>
      <c r="H134" s="133">
        <v>25</v>
      </c>
      <c r="I134" s="133">
        <v>81.2</v>
      </c>
      <c r="J134" s="133">
        <v>0.21</v>
      </c>
      <c r="K134" s="133">
        <v>0</v>
      </c>
      <c r="L134" s="133">
        <v>4</v>
      </c>
      <c r="M134" s="133">
        <v>801830.35</v>
      </c>
      <c r="N134" s="133">
        <v>114875.32</v>
      </c>
    </row>
    <row r="135" s="133" customFormat="1" spans="1:14">
      <c r="A135" s="133" t="s">
        <v>56</v>
      </c>
      <c r="B135" s="191">
        <v>45717</v>
      </c>
      <c r="C135" s="133" t="s">
        <v>17</v>
      </c>
      <c r="D135" s="133" t="s">
        <v>20</v>
      </c>
      <c r="E135" s="133">
        <v>50735.63</v>
      </c>
      <c r="F135" s="133">
        <v>9619</v>
      </c>
      <c r="G135" s="133">
        <v>0.144</v>
      </c>
      <c r="H135" s="133">
        <v>19</v>
      </c>
      <c r="I135" s="133">
        <v>93.8</v>
      </c>
      <c r="J135" s="133">
        <v>5.12</v>
      </c>
      <c r="K135" s="133">
        <v>1</v>
      </c>
      <c r="L135" s="133">
        <v>4.5</v>
      </c>
      <c r="M135" s="133">
        <v>725235.28</v>
      </c>
      <c r="N135" s="133">
        <v>121632.24</v>
      </c>
    </row>
    <row r="136" s="133" customFormat="1" spans="1:14">
      <c r="A136" s="133" t="s">
        <v>56</v>
      </c>
      <c r="B136" s="191">
        <v>45748</v>
      </c>
      <c r="C136" s="133" t="s">
        <v>17</v>
      </c>
      <c r="D136" s="133" t="s">
        <v>20</v>
      </c>
      <c r="E136" s="133">
        <v>66455.8</v>
      </c>
      <c r="F136" s="133">
        <v>10836</v>
      </c>
      <c r="G136" s="133">
        <v>0.089</v>
      </c>
      <c r="H136" s="133">
        <v>25</v>
      </c>
      <c r="I136" s="133">
        <v>85</v>
      </c>
      <c r="J136" s="133">
        <v>9.77</v>
      </c>
      <c r="K136" s="133">
        <v>0</v>
      </c>
      <c r="L136" s="133">
        <v>4.5</v>
      </c>
      <c r="M136" s="133">
        <v>811452.72</v>
      </c>
      <c r="N136" s="133">
        <v>131325.67</v>
      </c>
    </row>
    <row r="137" s="133" customFormat="1" spans="1:14">
      <c r="A137" s="133" t="s">
        <v>57</v>
      </c>
      <c r="B137" s="191">
        <v>45658</v>
      </c>
      <c r="C137" s="133" t="s">
        <v>22</v>
      </c>
      <c r="D137" s="133" t="s">
        <v>20</v>
      </c>
      <c r="E137" s="133">
        <v>70276.28</v>
      </c>
      <c r="F137" s="133">
        <v>3043</v>
      </c>
      <c r="G137" s="133">
        <v>0.079</v>
      </c>
      <c r="H137" s="133">
        <v>9</v>
      </c>
      <c r="I137" s="133">
        <v>87.9</v>
      </c>
      <c r="J137" s="133">
        <v>3.77</v>
      </c>
      <c r="K137" s="133">
        <v>0</v>
      </c>
      <c r="L137" s="133">
        <v>4.4</v>
      </c>
      <c r="M137" s="133">
        <v>527300.13</v>
      </c>
      <c r="N137" s="133">
        <v>84197.87</v>
      </c>
    </row>
    <row r="138" s="133" customFormat="1" spans="1:14">
      <c r="A138" s="133" t="s">
        <v>57</v>
      </c>
      <c r="B138" s="191">
        <v>45689</v>
      </c>
      <c r="C138" s="133" t="s">
        <v>22</v>
      </c>
      <c r="D138" s="133" t="s">
        <v>20</v>
      </c>
      <c r="E138" s="133">
        <v>22071.64</v>
      </c>
      <c r="F138" s="133">
        <v>1814</v>
      </c>
      <c r="G138" s="133">
        <v>0.196</v>
      </c>
      <c r="H138" s="133">
        <v>8</v>
      </c>
      <c r="I138" s="133">
        <v>81.1</v>
      </c>
      <c r="J138" s="133">
        <v>0.78</v>
      </c>
      <c r="K138" s="133">
        <v>0</v>
      </c>
      <c r="M138" s="133">
        <v>400831.65</v>
      </c>
      <c r="N138" s="133">
        <v>70979.31</v>
      </c>
    </row>
    <row r="139" s="133" customFormat="1" spans="1:14">
      <c r="A139" s="133" t="s">
        <v>57</v>
      </c>
      <c r="B139" s="191">
        <v>45717</v>
      </c>
      <c r="C139" s="133" t="s">
        <v>22</v>
      </c>
      <c r="D139" s="133" t="s">
        <v>20</v>
      </c>
      <c r="E139" s="133">
        <v>52285.45</v>
      </c>
      <c r="F139" s="133">
        <v>3618</v>
      </c>
      <c r="G139" s="133">
        <v>0.086</v>
      </c>
      <c r="H139" s="133">
        <v>11</v>
      </c>
      <c r="I139" s="133">
        <v>95.6</v>
      </c>
      <c r="J139" s="133">
        <v>5.17</v>
      </c>
      <c r="K139" s="133">
        <v>1</v>
      </c>
      <c r="L139" s="133">
        <v>4.4</v>
      </c>
      <c r="M139" s="133">
        <v>593247.25</v>
      </c>
      <c r="N139" s="133">
        <v>81240.29</v>
      </c>
    </row>
    <row r="140" s="133" customFormat="1" spans="1:14">
      <c r="A140" s="133" t="s">
        <v>57</v>
      </c>
      <c r="B140" s="191">
        <v>45748</v>
      </c>
      <c r="C140" s="133" t="s">
        <v>22</v>
      </c>
      <c r="D140" s="133" t="s">
        <v>20</v>
      </c>
      <c r="E140" s="133">
        <v>70366.76</v>
      </c>
      <c r="F140" s="133">
        <v>1963</v>
      </c>
      <c r="G140" s="133">
        <v>0.182</v>
      </c>
      <c r="H140" s="133">
        <v>8</v>
      </c>
      <c r="I140" s="133">
        <v>89.8</v>
      </c>
      <c r="J140" s="133">
        <v>3.2</v>
      </c>
      <c r="K140" s="133">
        <v>0</v>
      </c>
      <c r="L140" s="133">
        <v>4.6</v>
      </c>
      <c r="M140" s="133">
        <v>529075.95</v>
      </c>
      <c r="N140" s="133">
        <v>95978.83</v>
      </c>
    </row>
    <row r="141" s="133" customFormat="1" spans="1:14">
      <c r="A141" s="133" t="s">
        <v>58</v>
      </c>
      <c r="B141" s="191">
        <v>45658</v>
      </c>
      <c r="C141" s="133" t="s">
        <v>26</v>
      </c>
      <c r="D141" s="133" t="s">
        <v>18</v>
      </c>
      <c r="E141" s="133">
        <v>71320.66</v>
      </c>
      <c r="F141" s="133">
        <v>7888</v>
      </c>
      <c r="G141" s="133">
        <v>0.048</v>
      </c>
      <c r="H141" s="133">
        <v>20</v>
      </c>
      <c r="I141" s="133">
        <v>78.1</v>
      </c>
      <c r="J141" s="133">
        <v>3.4</v>
      </c>
      <c r="K141" s="133">
        <v>0</v>
      </c>
      <c r="M141" s="133">
        <v>633638.03</v>
      </c>
      <c r="N141" s="133">
        <v>99402.01</v>
      </c>
    </row>
    <row r="142" s="133" customFormat="1" spans="1:14">
      <c r="A142" s="133" t="s">
        <v>58</v>
      </c>
      <c r="B142" s="191">
        <v>45689</v>
      </c>
      <c r="C142" s="133" t="s">
        <v>26</v>
      </c>
      <c r="D142" s="133" t="s">
        <v>18</v>
      </c>
      <c r="E142" s="133">
        <v>75109.67</v>
      </c>
      <c r="F142" s="133">
        <v>6244</v>
      </c>
      <c r="G142" s="133">
        <v>0.079</v>
      </c>
      <c r="H142" s="133">
        <v>15</v>
      </c>
      <c r="I142" s="133">
        <v>96.3</v>
      </c>
      <c r="J142" s="133">
        <v>7.38</v>
      </c>
      <c r="K142" s="133">
        <v>0</v>
      </c>
      <c r="L142" s="133">
        <v>3.7</v>
      </c>
      <c r="M142" s="133">
        <v>743348.84</v>
      </c>
      <c r="N142" s="133">
        <v>104186.09</v>
      </c>
    </row>
    <row r="143" s="133" customFormat="1" spans="1:14">
      <c r="A143" s="133" t="s">
        <v>58</v>
      </c>
      <c r="B143" s="191">
        <v>45717</v>
      </c>
      <c r="C143" s="133" t="s">
        <v>26</v>
      </c>
      <c r="D143" s="133" t="s">
        <v>18</v>
      </c>
      <c r="E143" s="133">
        <v>69779</v>
      </c>
      <c r="F143" s="133">
        <v>6544</v>
      </c>
      <c r="G143" s="133">
        <v>0.152</v>
      </c>
      <c r="H143" s="133">
        <v>18</v>
      </c>
      <c r="I143" s="133">
        <v>90.2</v>
      </c>
      <c r="J143" s="133">
        <v>0.85</v>
      </c>
      <c r="K143" s="133">
        <v>1</v>
      </c>
      <c r="L143" s="133">
        <v>3.3</v>
      </c>
      <c r="M143" s="133">
        <v>758827.64</v>
      </c>
      <c r="N143" s="133">
        <v>161439.48</v>
      </c>
    </row>
    <row r="144" s="133" customFormat="1" spans="1:14">
      <c r="A144" s="133" t="s">
        <v>58</v>
      </c>
      <c r="B144" s="191">
        <v>45748</v>
      </c>
      <c r="C144" s="133" t="s">
        <v>26</v>
      </c>
      <c r="D144" s="133" t="s">
        <v>18</v>
      </c>
      <c r="E144" s="133">
        <v>44211.95</v>
      </c>
      <c r="F144" s="133">
        <v>5465</v>
      </c>
      <c r="G144" s="133">
        <v>0.187</v>
      </c>
      <c r="H144" s="133">
        <v>12</v>
      </c>
      <c r="I144" s="133">
        <v>90</v>
      </c>
      <c r="J144" s="133">
        <v>2.89</v>
      </c>
      <c r="K144" s="133">
        <v>0</v>
      </c>
      <c r="L144" s="133">
        <v>3.6</v>
      </c>
      <c r="M144" s="133">
        <v>646559.71</v>
      </c>
      <c r="N144" s="133">
        <v>97981.75</v>
      </c>
    </row>
    <row r="145" s="133" customFormat="1" spans="1:14">
      <c r="A145" s="133" t="s">
        <v>59</v>
      </c>
      <c r="B145" s="191">
        <v>45658</v>
      </c>
      <c r="C145" s="133" t="s">
        <v>29</v>
      </c>
      <c r="D145" s="133" t="s">
        <v>20</v>
      </c>
      <c r="E145" s="133">
        <v>51430.31</v>
      </c>
      <c r="F145" s="133">
        <v>6427</v>
      </c>
      <c r="G145" s="133">
        <v>0.234</v>
      </c>
      <c r="H145" s="133">
        <v>14</v>
      </c>
      <c r="I145" s="133">
        <v>88.8</v>
      </c>
      <c r="J145" s="133">
        <v>0.77</v>
      </c>
      <c r="K145" s="133">
        <v>0</v>
      </c>
      <c r="L145" s="133">
        <v>4.1</v>
      </c>
      <c r="M145" s="133">
        <v>715890.53</v>
      </c>
      <c r="N145" s="133">
        <v>109032.15</v>
      </c>
    </row>
    <row r="146" s="133" customFormat="1" spans="1:14">
      <c r="A146" s="133" t="s">
        <v>59</v>
      </c>
      <c r="B146" s="191">
        <v>45689</v>
      </c>
      <c r="C146" s="133" t="s">
        <v>29</v>
      </c>
      <c r="D146" s="133" t="s">
        <v>20</v>
      </c>
      <c r="E146" s="133">
        <v>45706.49</v>
      </c>
      <c r="F146" s="133">
        <v>6704</v>
      </c>
      <c r="G146" s="133">
        <v>0.038</v>
      </c>
      <c r="H146" s="133">
        <v>15</v>
      </c>
      <c r="I146" s="133">
        <v>94.2</v>
      </c>
      <c r="J146" s="133">
        <v>2.92</v>
      </c>
      <c r="K146" s="133">
        <v>0</v>
      </c>
      <c r="L146" s="133">
        <v>4.2</v>
      </c>
      <c r="M146" s="133">
        <v>715097.57</v>
      </c>
      <c r="N146" s="133">
        <v>151875.86</v>
      </c>
    </row>
    <row r="147" s="133" customFormat="1" spans="1:14">
      <c r="A147" s="133" t="s">
        <v>59</v>
      </c>
      <c r="B147" s="191">
        <v>45717</v>
      </c>
      <c r="C147" s="133" t="s">
        <v>29</v>
      </c>
      <c r="D147" s="133" t="s">
        <v>20</v>
      </c>
      <c r="E147" s="133">
        <v>44034.6</v>
      </c>
      <c r="F147" s="133">
        <v>5645</v>
      </c>
      <c r="G147" s="133">
        <v>0.069</v>
      </c>
      <c r="H147" s="133">
        <v>18</v>
      </c>
      <c r="I147" s="133">
        <v>88.5</v>
      </c>
      <c r="J147" s="133">
        <v>3.07</v>
      </c>
      <c r="K147" s="133">
        <v>0</v>
      </c>
      <c r="L147" s="133">
        <v>3.8</v>
      </c>
      <c r="M147" s="133">
        <v>682639.28</v>
      </c>
      <c r="N147" s="133">
        <v>77557.53</v>
      </c>
    </row>
    <row r="148" s="133" customFormat="1" spans="1:14">
      <c r="A148" s="133" t="s">
        <v>59</v>
      </c>
      <c r="B148" s="191">
        <v>45748</v>
      </c>
      <c r="C148" s="133" t="s">
        <v>29</v>
      </c>
      <c r="D148" s="133" t="s">
        <v>20</v>
      </c>
      <c r="E148" s="133">
        <v>50198.12</v>
      </c>
      <c r="F148" s="133">
        <v>6089</v>
      </c>
      <c r="G148" s="133">
        <v>0.182</v>
      </c>
      <c r="H148" s="133">
        <v>19</v>
      </c>
      <c r="I148" s="133">
        <v>94</v>
      </c>
      <c r="J148" s="133">
        <v>9.7</v>
      </c>
      <c r="K148" s="133">
        <v>0</v>
      </c>
      <c r="L148" s="133">
        <v>3.9</v>
      </c>
      <c r="M148" s="133">
        <v>695098.51</v>
      </c>
      <c r="N148" s="133">
        <v>108192.75</v>
      </c>
    </row>
    <row r="149" s="133" customFormat="1" spans="1:14">
      <c r="A149" s="133" t="s">
        <v>60</v>
      </c>
      <c r="B149" s="191">
        <v>45658</v>
      </c>
      <c r="C149" s="133" t="s">
        <v>22</v>
      </c>
      <c r="D149" s="133" t="s">
        <v>18</v>
      </c>
      <c r="E149" s="133">
        <v>70488.2</v>
      </c>
      <c r="F149" s="133">
        <v>4312</v>
      </c>
      <c r="G149" s="133">
        <v>0.169</v>
      </c>
      <c r="H149" s="133">
        <v>12</v>
      </c>
      <c r="I149" s="133">
        <v>90.2</v>
      </c>
      <c r="J149" s="133">
        <v>3.71</v>
      </c>
      <c r="K149" s="133">
        <v>0</v>
      </c>
      <c r="L149" s="133">
        <v>3.2</v>
      </c>
      <c r="M149" s="133">
        <v>577732.57</v>
      </c>
      <c r="N149" s="133">
        <v>93804.27</v>
      </c>
    </row>
    <row r="150" s="133" customFormat="1" spans="1:14">
      <c r="A150" s="133" t="s">
        <v>60</v>
      </c>
      <c r="B150" s="191">
        <v>45689</v>
      </c>
      <c r="C150" s="133" t="s">
        <v>22</v>
      </c>
      <c r="D150" s="133" t="s">
        <v>18</v>
      </c>
      <c r="E150" s="133">
        <v>50909.27</v>
      </c>
      <c r="F150" s="133">
        <v>3152</v>
      </c>
      <c r="G150" s="133">
        <v>0.06</v>
      </c>
      <c r="H150" s="133">
        <v>13</v>
      </c>
      <c r="I150" s="133">
        <v>93.7</v>
      </c>
      <c r="J150" s="133">
        <v>10.79</v>
      </c>
      <c r="K150" s="133">
        <v>0</v>
      </c>
      <c r="L150" s="133">
        <v>3.5</v>
      </c>
      <c r="M150" s="133">
        <v>537058.33</v>
      </c>
      <c r="N150" s="133">
        <v>93555.71</v>
      </c>
    </row>
    <row r="151" s="133" customFormat="1" spans="1:14">
      <c r="A151" s="133" t="s">
        <v>60</v>
      </c>
      <c r="B151" s="191">
        <v>45717</v>
      </c>
      <c r="C151" s="133" t="s">
        <v>22</v>
      </c>
      <c r="D151" s="133" t="s">
        <v>18</v>
      </c>
      <c r="E151" s="133">
        <v>53351.7</v>
      </c>
      <c r="F151" s="133">
        <v>4259</v>
      </c>
      <c r="G151" s="133">
        <v>0.156</v>
      </c>
      <c r="H151" s="133">
        <v>15</v>
      </c>
      <c r="I151" s="133">
        <v>93.7</v>
      </c>
      <c r="J151" s="133">
        <v>6.03</v>
      </c>
      <c r="K151" s="133">
        <v>0</v>
      </c>
      <c r="L151" s="133">
        <v>3.4</v>
      </c>
      <c r="M151" s="133">
        <v>601568.87</v>
      </c>
      <c r="N151" s="133">
        <v>91634.82</v>
      </c>
    </row>
    <row r="152" s="133" customFormat="1" spans="1:14">
      <c r="A152" s="133" t="s">
        <v>60</v>
      </c>
      <c r="B152" s="191">
        <v>45748</v>
      </c>
      <c r="C152" s="133" t="s">
        <v>22</v>
      </c>
      <c r="D152" s="133" t="s">
        <v>18</v>
      </c>
      <c r="E152" s="133">
        <v>60322.4</v>
      </c>
      <c r="F152" s="133">
        <v>3350</v>
      </c>
      <c r="G152" s="133">
        <v>0.108</v>
      </c>
      <c r="H152" s="133">
        <v>12</v>
      </c>
      <c r="I152" s="133">
        <v>89.4</v>
      </c>
      <c r="J152" s="133">
        <v>4.92</v>
      </c>
      <c r="K152" s="133">
        <v>0</v>
      </c>
      <c r="L152" s="133">
        <v>3.4</v>
      </c>
      <c r="M152" s="133">
        <v>570964.84</v>
      </c>
      <c r="N152" s="133">
        <v>81331.07</v>
      </c>
    </row>
    <row r="153" s="133" customFormat="1" spans="1:14">
      <c r="A153" s="133" t="s">
        <v>61</v>
      </c>
      <c r="B153" s="191">
        <v>45658</v>
      </c>
      <c r="C153" s="133" t="s">
        <v>26</v>
      </c>
      <c r="D153" s="133" t="s">
        <v>30</v>
      </c>
      <c r="E153" s="133">
        <v>51575.68</v>
      </c>
      <c r="F153" s="133">
        <v>5329</v>
      </c>
      <c r="G153" s="133">
        <v>0.047</v>
      </c>
      <c r="H153" s="133">
        <v>17</v>
      </c>
      <c r="I153" s="133">
        <v>88.1</v>
      </c>
      <c r="J153" s="133">
        <v>19.78</v>
      </c>
      <c r="K153" s="133">
        <v>0</v>
      </c>
      <c r="L153" s="133">
        <v>3.8</v>
      </c>
      <c r="M153" s="133">
        <v>614024.91</v>
      </c>
      <c r="N153" s="133">
        <v>84828.93</v>
      </c>
    </row>
    <row r="154" s="133" customFormat="1" spans="1:14">
      <c r="A154" s="133" t="s">
        <v>61</v>
      </c>
      <c r="B154" s="191">
        <v>45689</v>
      </c>
      <c r="C154" s="133" t="s">
        <v>26</v>
      </c>
      <c r="D154" s="133" t="s">
        <v>30</v>
      </c>
      <c r="E154" s="133">
        <v>43319.94</v>
      </c>
      <c r="F154" s="133">
        <v>6551</v>
      </c>
      <c r="G154" s="133">
        <v>0.044</v>
      </c>
      <c r="H154" s="133">
        <v>13</v>
      </c>
      <c r="I154" s="133">
        <v>99</v>
      </c>
      <c r="J154" s="133">
        <v>5.45</v>
      </c>
      <c r="K154" s="133">
        <v>0</v>
      </c>
      <c r="L154" s="133">
        <v>4.1</v>
      </c>
      <c r="M154" s="133">
        <v>712868.35</v>
      </c>
      <c r="N154" s="133">
        <v>133650.51</v>
      </c>
    </row>
    <row r="155" s="133" customFormat="1" spans="1:14">
      <c r="A155" s="133" t="s">
        <v>61</v>
      </c>
      <c r="B155" s="191">
        <v>45717</v>
      </c>
      <c r="C155" s="133" t="s">
        <v>26</v>
      </c>
      <c r="D155" s="133" t="s">
        <v>30</v>
      </c>
      <c r="E155" s="133">
        <v>47093.55</v>
      </c>
      <c r="F155" s="133">
        <v>5550</v>
      </c>
      <c r="G155" s="133">
        <v>0.1</v>
      </c>
      <c r="H155" s="133">
        <v>12</v>
      </c>
      <c r="I155" s="133">
        <v>95</v>
      </c>
      <c r="J155" s="133">
        <v>2.33</v>
      </c>
      <c r="K155" s="133">
        <v>1</v>
      </c>
      <c r="L155" s="133">
        <v>3.7</v>
      </c>
      <c r="M155" s="133">
        <v>696744.15</v>
      </c>
      <c r="N155" s="133">
        <v>152230.09</v>
      </c>
    </row>
    <row r="156" s="133" customFormat="1" spans="1:14">
      <c r="A156" s="133" t="s">
        <v>61</v>
      </c>
      <c r="B156" s="191">
        <v>45748</v>
      </c>
      <c r="C156" s="133" t="s">
        <v>26</v>
      </c>
      <c r="D156" s="133" t="s">
        <v>30</v>
      </c>
      <c r="E156" s="133">
        <v>71855.09</v>
      </c>
      <c r="F156" s="133">
        <v>5911</v>
      </c>
      <c r="G156" s="133">
        <v>0.197</v>
      </c>
      <c r="H156" s="133">
        <v>15</v>
      </c>
      <c r="I156" s="133">
        <v>94.3</v>
      </c>
      <c r="J156" s="133">
        <v>3.55</v>
      </c>
      <c r="K156" s="133">
        <v>0</v>
      </c>
      <c r="L156" s="133">
        <v>4.1</v>
      </c>
      <c r="M156" s="133">
        <v>725847.99</v>
      </c>
      <c r="N156" s="133">
        <v>122698.73</v>
      </c>
    </row>
    <row r="157" s="133" customFormat="1" spans="1:14">
      <c r="A157" s="133" t="s">
        <v>62</v>
      </c>
      <c r="B157" s="191">
        <v>45658</v>
      </c>
      <c r="C157" s="133" t="s">
        <v>17</v>
      </c>
      <c r="D157" s="133" t="s">
        <v>20</v>
      </c>
      <c r="E157" s="133">
        <v>75645.23</v>
      </c>
      <c r="F157" s="133">
        <v>9674</v>
      </c>
      <c r="G157" s="133">
        <v>0.234</v>
      </c>
      <c r="H157" s="133">
        <v>21</v>
      </c>
      <c r="I157" s="133">
        <v>87.4</v>
      </c>
      <c r="J157" s="133">
        <v>0.2</v>
      </c>
      <c r="K157" s="133">
        <v>0</v>
      </c>
      <c r="L157" s="133">
        <v>4.5</v>
      </c>
      <c r="M157" s="133">
        <v>785028.25</v>
      </c>
      <c r="N157" s="133">
        <v>110726.44</v>
      </c>
    </row>
    <row r="158" s="133" customFormat="1" spans="1:14">
      <c r="A158" s="133" t="s">
        <v>62</v>
      </c>
      <c r="B158" s="191">
        <v>45689</v>
      </c>
      <c r="C158" s="133" t="s">
        <v>17</v>
      </c>
      <c r="D158" s="133" t="s">
        <v>20</v>
      </c>
      <c r="E158" s="133">
        <v>64374.75</v>
      </c>
      <c r="F158" s="133">
        <v>6740</v>
      </c>
      <c r="G158" s="133">
        <v>0.169</v>
      </c>
      <c r="H158" s="133">
        <v>18</v>
      </c>
      <c r="I158" s="133">
        <v>87</v>
      </c>
      <c r="J158" s="133">
        <v>2.09</v>
      </c>
      <c r="K158" s="133">
        <v>0</v>
      </c>
      <c r="L158" s="133">
        <v>4.2</v>
      </c>
      <c r="M158" s="133">
        <v>698492.67</v>
      </c>
      <c r="N158" s="133">
        <v>117319.32</v>
      </c>
    </row>
    <row r="159" s="133" customFormat="1" spans="1:14">
      <c r="A159" s="133" t="s">
        <v>62</v>
      </c>
      <c r="B159" s="191">
        <v>45717</v>
      </c>
      <c r="C159" s="133" t="s">
        <v>17</v>
      </c>
      <c r="D159" s="133" t="s">
        <v>20</v>
      </c>
      <c r="E159" s="133">
        <v>61433.84</v>
      </c>
      <c r="F159" s="133">
        <v>7745</v>
      </c>
      <c r="G159" s="133">
        <v>0.18</v>
      </c>
      <c r="H159" s="133">
        <v>16</v>
      </c>
      <c r="I159" s="133">
        <v>90.5</v>
      </c>
      <c r="J159" s="133">
        <v>2.26</v>
      </c>
      <c r="K159" s="133">
        <v>0</v>
      </c>
      <c r="L159" s="133">
        <v>4.2</v>
      </c>
      <c r="M159" s="133">
        <v>685830.24</v>
      </c>
      <c r="N159" s="133">
        <v>128736.18</v>
      </c>
    </row>
    <row r="160" s="133" customFormat="1" spans="1:14">
      <c r="A160" s="133" t="s">
        <v>62</v>
      </c>
      <c r="B160" s="191">
        <v>45748</v>
      </c>
      <c r="C160" s="133" t="s">
        <v>17</v>
      </c>
      <c r="D160" s="133" t="s">
        <v>20</v>
      </c>
      <c r="E160" s="133">
        <v>42698.14</v>
      </c>
      <c r="F160" s="133">
        <v>7693</v>
      </c>
      <c r="G160" s="133">
        <v>0.187</v>
      </c>
      <c r="H160" s="133">
        <v>19</v>
      </c>
      <c r="I160" s="133">
        <v>90.1</v>
      </c>
      <c r="J160" s="133">
        <v>0.44</v>
      </c>
      <c r="K160" s="133">
        <v>0</v>
      </c>
      <c r="L160" s="133">
        <v>4.4</v>
      </c>
      <c r="M160" s="133">
        <v>702318.94</v>
      </c>
      <c r="N160" s="133">
        <v>112829.29</v>
      </c>
    </row>
    <row r="161" s="133" customFormat="1" spans="1:14">
      <c r="A161" s="133" t="s">
        <v>63</v>
      </c>
      <c r="B161" s="191">
        <v>45658</v>
      </c>
      <c r="C161" s="133" t="s">
        <v>22</v>
      </c>
      <c r="D161" s="133" t="s">
        <v>30</v>
      </c>
      <c r="E161" s="133">
        <v>86883.31</v>
      </c>
      <c r="F161" s="133">
        <v>6424</v>
      </c>
      <c r="G161" s="133">
        <v>0.057</v>
      </c>
      <c r="H161" s="133">
        <v>19</v>
      </c>
      <c r="I161" s="133">
        <v>85.2</v>
      </c>
      <c r="J161" s="133">
        <v>3.08</v>
      </c>
      <c r="K161" s="133">
        <v>0</v>
      </c>
      <c r="L161" s="133">
        <v>3.9</v>
      </c>
      <c r="M161" s="133">
        <v>700078.32</v>
      </c>
      <c r="N161" s="133">
        <v>123707.58</v>
      </c>
    </row>
    <row r="162" s="133" customFormat="1" spans="1:14">
      <c r="A162" s="133" t="s">
        <v>63</v>
      </c>
      <c r="B162" s="191">
        <v>45689</v>
      </c>
      <c r="C162" s="133" t="s">
        <v>22</v>
      </c>
      <c r="D162" s="133" t="s">
        <v>30</v>
      </c>
      <c r="E162" s="133">
        <v>41863.08</v>
      </c>
      <c r="F162" s="133">
        <v>5400</v>
      </c>
      <c r="G162" s="133">
        <v>0.114</v>
      </c>
      <c r="H162" s="133">
        <v>11</v>
      </c>
      <c r="I162" s="133">
        <v>91.6</v>
      </c>
      <c r="J162" s="133">
        <v>7.99</v>
      </c>
      <c r="K162" s="133">
        <v>0</v>
      </c>
      <c r="L162" s="133">
        <v>3</v>
      </c>
      <c r="M162" s="133">
        <v>602002.32</v>
      </c>
      <c r="N162" s="133">
        <v>110453.28</v>
      </c>
    </row>
    <row r="163" s="133" customFormat="1" spans="1:14">
      <c r="A163" s="133" t="s">
        <v>63</v>
      </c>
      <c r="B163" s="191">
        <v>45717</v>
      </c>
      <c r="C163" s="133" t="s">
        <v>22</v>
      </c>
      <c r="D163" s="133" t="s">
        <v>30</v>
      </c>
      <c r="E163" s="133">
        <v>56918.16</v>
      </c>
      <c r="F163" s="133">
        <v>7015</v>
      </c>
      <c r="G163" s="133">
        <v>0.158</v>
      </c>
      <c r="H163" s="133">
        <v>18</v>
      </c>
      <c r="I163" s="133">
        <v>74.2</v>
      </c>
      <c r="J163" s="133">
        <v>0.2</v>
      </c>
      <c r="K163" s="133">
        <v>0</v>
      </c>
      <c r="L163" s="133">
        <v>3.4</v>
      </c>
      <c r="M163" s="133">
        <v>724216.07</v>
      </c>
      <c r="N163" s="133">
        <v>100627.56</v>
      </c>
    </row>
    <row r="164" s="133" customFormat="1" spans="1:14">
      <c r="A164" s="133" t="s">
        <v>63</v>
      </c>
      <c r="B164" s="191">
        <v>45748</v>
      </c>
      <c r="C164" s="133" t="s">
        <v>22</v>
      </c>
      <c r="D164" s="133" t="s">
        <v>30</v>
      </c>
      <c r="E164" s="133">
        <v>23254.57</v>
      </c>
      <c r="F164" s="133">
        <v>3847</v>
      </c>
      <c r="G164" s="133">
        <v>0.159</v>
      </c>
      <c r="H164" s="133">
        <v>12</v>
      </c>
      <c r="I164" s="133">
        <v>93</v>
      </c>
      <c r="J164" s="133">
        <v>5.46</v>
      </c>
      <c r="K164" s="133">
        <v>0</v>
      </c>
      <c r="L164" s="133">
        <v>3.3</v>
      </c>
      <c r="M164" s="133">
        <v>620973.03</v>
      </c>
      <c r="N164" s="133">
        <v>72303.85</v>
      </c>
    </row>
    <row r="165" s="133" customFormat="1" spans="1:14">
      <c r="A165" s="133" t="s">
        <v>64</v>
      </c>
      <c r="B165" s="191">
        <v>45658</v>
      </c>
      <c r="C165" s="133" t="s">
        <v>26</v>
      </c>
      <c r="D165" s="133" t="s">
        <v>20</v>
      </c>
      <c r="E165" s="133">
        <v>41443.41</v>
      </c>
      <c r="F165" s="133">
        <v>7455</v>
      </c>
      <c r="G165" s="133">
        <v>0.175</v>
      </c>
      <c r="H165" s="133">
        <v>16</v>
      </c>
      <c r="I165" s="133">
        <v>90.1</v>
      </c>
      <c r="J165" s="133">
        <v>4.05</v>
      </c>
      <c r="K165" s="133">
        <v>0</v>
      </c>
      <c r="L165" s="133">
        <v>4</v>
      </c>
      <c r="M165" s="133">
        <v>650480.06</v>
      </c>
      <c r="N165" s="133">
        <v>109012.07</v>
      </c>
    </row>
    <row r="166" s="133" customFormat="1" spans="1:14">
      <c r="A166" s="133" t="s">
        <v>64</v>
      </c>
      <c r="B166" s="191">
        <v>45689</v>
      </c>
      <c r="C166" s="133" t="s">
        <v>26</v>
      </c>
      <c r="D166" s="133" t="s">
        <v>20</v>
      </c>
      <c r="E166" s="133">
        <v>48438.85</v>
      </c>
      <c r="F166" s="133">
        <v>6992</v>
      </c>
      <c r="G166" s="133">
        <v>0.034</v>
      </c>
      <c r="H166" s="133">
        <v>20</v>
      </c>
      <c r="I166" s="133">
        <v>91</v>
      </c>
      <c r="J166" s="133">
        <v>4.36</v>
      </c>
      <c r="K166" s="133">
        <v>0</v>
      </c>
      <c r="L166" s="133">
        <v>4.2</v>
      </c>
      <c r="M166" s="133">
        <v>778298.88</v>
      </c>
      <c r="N166" s="133">
        <v>130076.72</v>
      </c>
    </row>
    <row r="167" s="133" customFormat="1" spans="1:14">
      <c r="A167" s="133" t="s">
        <v>64</v>
      </c>
      <c r="B167" s="191">
        <v>45717</v>
      </c>
      <c r="C167" s="133" t="s">
        <v>26</v>
      </c>
      <c r="D167" s="133" t="s">
        <v>20</v>
      </c>
      <c r="E167" s="133">
        <v>57143.3</v>
      </c>
      <c r="F167" s="133">
        <v>8038</v>
      </c>
      <c r="G167" s="133">
        <v>0.193</v>
      </c>
      <c r="H167" s="133">
        <v>17</v>
      </c>
      <c r="I167" s="133">
        <v>72.6</v>
      </c>
      <c r="K167" s="133">
        <v>0</v>
      </c>
      <c r="L167" s="133">
        <v>4.2</v>
      </c>
      <c r="M167" s="133">
        <v>677096.71</v>
      </c>
      <c r="N167" s="133">
        <v>97174.11</v>
      </c>
    </row>
    <row r="168" s="133" customFormat="1" spans="1:14">
      <c r="A168" s="133" t="s">
        <v>64</v>
      </c>
      <c r="B168" s="191">
        <v>45748</v>
      </c>
      <c r="C168" s="133" t="s">
        <v>26</v>
      </c>
      <c r="D168" s="133" t="s">
        <v>20</v>
      </c>
      <c r="E168" s="133">
        <v>66870.62</v>
      </c>
      <c r="F168" s="133">
        <v>6055</v>
      </c>
      <c r="G168" s="133">
        <v>0.075</v>
      </c>
      <c r="H168" s="133">
        <v>19</v>
      </c>
      <c r="I168" s="133">
        <v>93.8</v>
      </c>
      <c r="J168" s="133">
        <v>0.54</v>
      </c>
      <c r="K168" s="133">
        <v>0</v>
      </c>
      <c r="L168" s="133">
        <v>4.3</v>
      </c>
      <c r="M168" s="133">
        <v>692008.64</v>
      </c>
      <c r="N168" s="133">
        <v>116337.87</v>
      </c>
    </row>
    <row r="169" s="133" customFormat="1" spans="1:14">
      <c r="A169" s="133" t="s">
        <v>65</v>
      </c>
      <c r="B169" s="191">
        <v>45658</v>
      </c>
      <c r="C169" s="133" t="s">
        <v>22</v>
      </c>
      <c r="D169" s="133" t="s">
        <v>30</v>
      </c>
      <c r="E169" s="133">
        <v>72150.53</v>
      </c>
      <c r="F169" s="133">
        <v>9323</v>
      </c>
      <c r="G169" s="133">
        <v>0.157</v>
      </c>
      <c r="H169" s="133">
        <v>22</v>
      </c>
      <c r="I169" s="133">
        <v>82.9</v>
      </c>
      <c r="J169" s="133">
        <v>11.37</v>
      </c>
      <c r="K169" s="133">
        <v>1</v>
      </c>
      <c r="L169" s="133">
        <v>4.3</v>
      </c>
      <c r="M169" s="133">
        <v>825797.91</v>
      </c>
      <c r="N169" s="133">
        <v>130945.24</v>
      </c>
    </row>
    <row r="170" s="133" customFormat="1" spans="1:14">
      <c r="A170" s="133" t="s">
        <v>65</v>
      </c>
      <c r="B170" s="191">
        <v>45689</v>
      </c>
      <c r="C170" s="133" t="s">
        <v>22</v>
      </c>
      <c r="D170" s="133" t="s">
        <v>30</v>
      </c>
      <c r="E170" s="133">
        <v>35303.3</v>
      </c>
      <c r="F170" s="133">
        <v>8789</v>
      </c>
      <c r="G170" s="133">
        <v>0.123</v>
      </c>
      <c r="H170" s="133">
        <v>22</v>
      </c>
      <c r="I170" s="133">
        <v>86.1</v>
      </c>
      <c r="J170" s="133">
        <v>9.43</v>
      </c>
      <c r="K170" s="133">
        <v>0</v>
      </c>
      <c r="L170" s="133">
        <v>4.2</v>
      </c>
      <c r="M170" s="133">
        <v>706285.52</v>
      </c>
      <c r="N170" s="133">
        <v>138014.72</v>
      </c>
    </row>
    <row r="171" s="133" customFormat="1" spans="1:14">
      <c r="A171" s="133" t="s">
        <v>65</v>
      </c>
      <c r="B171" s="191">
        <v>45717</v>
      </c>
      <c r="C171" s="133" t="s">
        <v>22</v>
      </c>
      <c r="D171" s="133" t="s">
        <v>30</v>
      </c>
      <c r="E171" s="133">
        <v>30301.86</v>
      </c>
      <c r="F171" s="133">
        <v>6939</v>
      </c>
      <c r="G171" s="133">
        <v>0.09</v>
      </c>
      <c r="H171" s="133">
        <v>16</v>
      </c>
      <c r="I171" s="133">
        <v>90.3</v>
      </c>
      <c r="J171" s="133">
        <v>3.49</v>
      </c>
      <c r="K171" s="133">
        <v>0</v>
      </c>
      <c r="L171" s="133">
        <v>4</v>
      </c>
      <c r="M171" s="133">
        <v>665534.7</v>
      </c>
      <c r="N171" s="133">
        <v>113167.73</v>
      </c>
    </row>
    <row r="172" s="133" customFormat="1" spans="1:14">
      <c r="A172" s="133" t="s">
        <v>65</v>
      </c>
      <c r="B172" s="191">
        <v>45748</v>
      </c>
      <c r="C172" s="133" t="s">
        <v>22</v>
      </c>
      <c r="D172" s="133" t="s">
        <v>30</v>
      </c>
      <c r="E172" s="133">
        <v>78432.14</v>
      </c>
      <c r="F172" s="133">
        <v>9440</v>
      </c>
      <c r="G172" s="133">
        <v>0.126</v>
      </c>
      <c r="H172" s="133">
        <v>23</v>
      </c>
      <c r="I172" s="133">
        <v>89.2</v>
      </c>
      <c r="J172" s="133">
        <v>7.86</v>
      </c>
      <c r="K172" s="133">
        <v>0</v>
      </c>
      <c r="L172" s="133">
        <v>4.1</v>
      </c>
      <c r="M172" s="133">
        <v>820729.29</v>
      </c>
      <c r="N172" s="133">
        <v>159325.47</v>
      </c>
    </row>
    <row r="173" s="133" customFormat="1" spans="1:14">
      <c r="A173" s="133" t="s">
        <v>66</v>
      </c>
      <c r="B173" s="191">
        <v>45658</v>
      </c>
      <c r="C173" s="133" t="s">
        <v>17</v>
      </c>
      <c r="D173" s="133" t="s">
        <v>18</v>
      </c>
      <c r="E173" s="133">
        <v>62059.18</v>
      </c>
      <c r="F173" s="133">
        <v>9374</v>
      </c>
      <c r="G173" s="133">
        <v>0.136</v>
      </c>
      <c r="H173" s="133">
        <v>25</v>
      </c>
      <c r="I173" s="133">
        <v>87.1</v>
      </c>
      <c r="J173" s="133">
        <v>12.55</v>
      </c>
      <c r="K173" s="133">
        <v>0</v>
      </c>
      <c r="L173" s="133">
        <v>4.9</v>
      </c>
      <c r="M173" s="133">
        <v>739831.73</v>
      </c>
      <c r="N173" s="133">
        <v>119490.21</v>
      </c>
    </row>
    <row r="174" s="133" customFormat="1" spans="1:14">
      <c r="A174" s="133" t="s">
        <v>66</v>
      </c>
      <c r="B174" s="191">
        <v>45689</v>
      </c>
      <c r="C174" s="133" t="s">
        <v>17</v>
      </c>
      <c r="D174" s="133" t="s">
        <v>18</v>
      </c>
      <c r="E174" s="133">
        <v>32834.48</v>
      </c>
      <c r="F174" s="133">
        <v>7576</v>
      </c>
      <c r="G174" s="133">
        <v>0.099</v>
      </c>
      <c r="H174" s="133">
        <v>15</v>
      </c>
      <c r="I174" s="133">
        <v>84.1</v>
      </c>
      <c r="J174" s="133">
        <v>3.48</v>
      </c>
      <c r="K174" s="133">
        <v>0</v>
      </c>
      <c r="L174" s="133">
        <v>5</v>
      </c>
      <c r="M174" s="133">
        <v>593637.14</v>
      </c>
      <c r="N174" s="133">
        <v>106648.14</v>
      </c>
    </row>
    <row r="175" s="133" customFormat="1" spans="1:14">
      <c r="A175" s="133" t="s">
        <v>66</v>
      </c>
      <c r="B175" s="191">
        <v>45717</v>
      </c>
      <c r="C175" s="133" t="s">
        <v>17</v>
      </c>
      <c r="D175" s="133" t="s">
        <v>18</v>
      </c>
      <c r="E175" s="133">
        <v>50825.08</v>
      </c>
      <c r="F175" s="133">
        <v>8949</v>
      </c>
      <c r="G175" s="133">
        <v>0.157</v>
      </c>
      <c r="H175" s="133">
        <v>21</v>
      </c>
      <c r="I175" s="133">
        <v>84.7</v>
      </c>
      <c r="J175" s="133">
        <v>7.73</v>
      </c>
      <c r="K175" s="133">
        <v>0</v>
      </c>
      <c r="L175" s="133">
        <v>4.9</v>
      </c>
      <c r="M175" s="133">
        <v>769702.76</v>
      </c>
      <c r="N175" s="133">
        <v>158697</v>
      </c>
    </row>
    <row r="176" s="133" customFormat="1" spans="1:14">
      <c r="A176" s="133" t="s">
        <v>66</v>
      </c>
      <c r="B176" s="191">
        <v>45748</v>
      </c>
      <c r="C176" s="133" t="s">
        <v>17</v>
      </c>
      <c r="D176" s="133" t="s">
        <v>18</v>
      </c>
      <c r="E176" s="133">
        <v>36606.51</v>
      </c>
      <c r="F176" s="133">
        <v>7671</v>
      </c>
      <c r="G176" s="133">
        <v>0.118</v>
      </c>
      <c r="H176" s="133">
        <v>18</v>
      </c>
      <c r="I176" s="133">
        <v>89.8</v>
      </c>
      <c r="J176" s="133">
        <v>0.25</v>
      </c>
      <c r="K176" s="133">
        <v>0</v>
      </c>
      <c r="L176" s="133">
        <v>4.4</v>
      </c>
      <c r="M176" s="133">
        <v>679731.57</v>
      </c>
      <c r="N176" s="133">
        <v>121546.42</v>
      </c>
    </row>
    <row r="177" s="133" customFormat="1" spans="1:14">
      <c r="A177" s="133" t="s">
        <v>67</v>
      </c>
      <c r="B177" s="191">
        <v>45658</v>
      </c>
      <c r="C177" s="133" t="s">
        <v>17</v>
      </c>
      <c r="D177" s="133" t="s">
        <v>18</v>
      </c>
      <c r="E177" s="133">
        <v>65237.79</v>
      </c>
      <c r="F177" s="133">
        <v>8741</v>
      </c>
      <c r="G177" s="133">
        <v>0.157</v>
      </c>
      <c r="H177" s="133">
        <v>20</v>
      </c>
      <c r="I177" s="133">
        <v>94.4</v>
      </c>
      <c r="J177" s="133">
        <v>6.43</v>
      </c>
      <c r="K177" s="133">
        <v>0</v>
      </c>
      <c r="L177" s="133">
        <v>3.3</v>
      </c>
      <c r="M177" s="133">
        <v>780344.18</v>
      </c>
      <c r="N177" s="133">
        <v>118239.09</v>
      </c>
    </row>
    <row r="178" s="133" customFormat="1" spans="1:14">
      <c r="A178" s="133" t="s">
        <v>67</v>
      </c>
      <c r="B178" s="191">
        <v>45689</v>
      </c>
      <c r="C178" s="133" t="s">
        <v>17</v>
      </c>
      <c r="D178" s="133" t="s">
        <v>18</v>
      </c>
      <c r="E178" s="133">
        <v>43645.98</v>
      </c>
      <c r="F178" s="133">
        <v>9480</v>
      </c>
      <c r="G178" s="133">
        <v>0.109</v>
      </c>
      <c r="H178" s="133">
        <v>22</v>
      </c>
      <c r="I178" s="133">
        <v>89</v>
      </c>
      <c r="J178" s="133">
        <v>2.11</v>
      </c>
      <c r="K178" s="133">
        <v>0</v>
      </c>
      <c r="L178" s="133">
        <v>3.1</v>
      </c>
      <c r="M178" s="133">
        <v>721364.11</v>
      </c>
      <c r="N178" s="133">
        <v>147272.81</v>
      </c>
    </row>
    <row r="179" s="133" customFormat="1" spans="1:14">
      <c r="A179" s="133" t="s">
        <v>67</v>
      </c>
      <c r="B179" s="191">
        <v>45717</v>
      </c>
      <c r="C179" s="133" t="s">
        <v>17</v>
      </c>
      <c r="D179" s="133" t="s">
        <v>18</v>
      </c>
      <c r="E179" s="133">
        <v>68040.15</v>
      </c>
      <c r="F179" s="133">
        <v>9826</v>
      </c>
      <c r="G179" s="133">
        <v>0.125</v>
      </c>
      <c r="H179" s="133">
        <v>20</v>
      </c>
      <c r="I179" s="133">
        <v>83.9</v>
      </c>
      <c r="J179" s="133">
        <v>9.12</v>
      </c>
      <c r="K179" s="133">
        <v>0</v>
      </c>
      <c r="L179" s="133">
        <v>3.6</v>
      </c>
      <c r="M179" s="133">
        <v>758138.29</v>
      </c>
      <c r="N179" s="133">
        <v>132975.26</v>
      </c>
    </row>
    <row r="180" s="133" customFormat="1" spans="1:14">
      <c r="A180" s="133" t="s">
        <v>67</v>
      </c>
      <c r="B180" s="191">
        <v>45748</v>
      </c>
      <c r="C180" s="133" t="s">
        <v>17</v>
      </c>
      <c r="D180" s="133" t="s">
        <v>18</v>
      </c>
      <c r="E180" s="133">
        <v>63043.94</v>
      </c>
      <c r="F180" s="133">
        <v>10402</v>
      </c>
      <c r="G180" s="133">
        <v>0.159</v>
      </c>
      <c r="H180" s="133">
        <v>23</v>
      </c>
      <c r="I180" s="133">
        <v>93.9</v>
      </c>
      <c r="J180" s="133">
        <v>2.71</v>
      </c>
      <c r="K180" s="133">
        <v>0</v>
      </c>
      <c r="L180" s="133">
        <v>3.1</v>
      </c>
      <c r="M180" s="133">
        <v>804264</v>
      </c>
      <c r="N180" s="133">
        <v>167117.91</v>
      </c>
    </row>
    <row r="181" s="133" customFormat="1" spans="1:14">
      <c r="A181" s="133" t="s">
        <v>68</v>
      </c>
      <c r="B181" s="191">
        <v>45658</v>
      </c>
      <c r="C181" s="133" t="s">
        <v>29</v>
      </c>
      <c r="D181" s="133" t="s">
        <v>23</v>
      </c>
      <c r="E181" s="133">
        <v>67494.09</v>
      </c>
      <c r="F181" s="133">
        <v>12361</v>
      </c>
      <c r="G181" s="133">
        <v>0.046</v>
      </c>
      <c r="H181" s="133">
        <v>24</v>
      </c>
      <c r="I181" s="133">
        <v>76.6</v>
      </c>
      <c r="J181" s="133">
        <v>3.65</v>
      </c>
      <c r="K181" s="133">
        <v>1</v>
      </c>
      <c r="L181" s="133">
        <v>3.7</v>
      </c>
      <c r="M181" s="133">
        <v>887537.75</v>
      </c>
      <c r="N181" s="133">
        <v>160362.92</v>
      </c>
    </row>
    <row r="182" s="133" customFormat="1" spans="1:14">
      <c r="A182" s="133" t="s">
        <v>68</v>
      </c>
      <c r="B182" s="191">
        <v>45689</v>
      </c>
      <c r="C182" s="133" t="s">
        <v>29</v>
      </c>
      <c r="D182" s="133" t="s">
        <v>23</v>
      </c>
      <c r="E182" s="133">
        <v>29389.32</v>
      </c>
      <c r="F182" s="133">
        <v>7925</v>
      </c>
      <c r="G182" s="133">
        <v>0.177</v>
      </c>
      <c r="H182" s="133">
        <v>21</v>
      </c>
      <c r="I182" s="133">
        <v>90.9</v>
      </c>
      <c r="J182" s="133">
        <v>7.86</v>
      </c>
      <c r="K182" s="133">
        <v>0</v>
      </c>
      <c r="L182" s="133">
        <v>4</v>
      </c>
      <c r="M182" s="133">
        <v>783582</v>
      </c>
      <c r="N182" s="133">
        <v>130670.93</v>
      </c>
    </row>
    <row r="183" s="133" customFormat="1" spans="1:14">
      <c r="A183" s="133" t="s">
        <v>68</v>
      </c>
      <c r="B183" s="191">
        <v>45717</v>
      </c>
      <c r="C183" s="133" t="s">
        <v>29</v>
      </c>
      <c r="D183" s="133" t="s">
        <v>23</v>
      </c>
      <c r="E183" s="133">
        <v>40535.09</v>
      </c>
      <c r="F183" s="133">
        <v>8870</v>
      </c>
      <c r="G183" s="133">
        <v>0.041</v>
      </c>
      <c r="H183" s="133">
        <v>21</v>
      </c>
      <c r="I183" s="133">
        <v>86.6</v>
      </c>
      <c r="J183" s="133">
        <v>0.3</v>
      </c>
      <c r="K183" s="133">
        <v>0</v>
      </c>
      <c r="L183" s="133">
        <v>4.1</v>
      </c>
      <c r="M183" s="133">
        <v>781955.52</v>
      </c>
      <c r="N183" s="133">
        <v>152578.71</v>
      </c>
    </row>
    <row r="184" s="133" customFormat="1" spans="1:14">
      <c r="A184" s="133" t="s">
        <v>68</v>
      </c>
      <c r="B184" s="191">
        <v>45748</v>
      </c>
      <c r="C184" s="133" t="s">
        <v>29</v>
      </c>
      <c r="D184" s="133" t="s">
        <v>23</v>
      </c>
      <c r="E184" s="133">
        <v>74881.56</v>
      </c>
      <c r="F184" s="133">
        <v>9999</v>
      </c>
      <c r="G184" s="133">
        <v>0.013</v>
      </c>
      <c r="H184" s="133">
        <v>20</v>
      </c>
      <c r="I184" s="133">
        <v>89.6</v>
      </c>
      <c r="J184" s="133">
        <v>8.44</v>
      </c>
      <c r="K184" s="133">
        <v>0</v>
      </c>
      <c r="L184" s="133">
        <v>4.1</v>
      </c>
      <c r="M184" s="133">
        <v>898031.04</v>
      </c>
      <c r="N184" s="133">
        <v>138666.5</v>
      </c>
    </row>
    <row r="185" s="133" customFormat="1" spans="1:14">
      <c r="A185" s="133" t="s">
        <v>69</v>
      </c>
      <c r="B185" s="191">
        <v>45658</v>
      </c>
      <c r="C185" s="133" t="s">
        <v>29</v>
      </c>
      <c r="D185" s="133" t="s">
        <v>18</v>
      </c>
      <c r="E185" s="133">
        <v>68491.11</v>
      </c>
      <c r="F185" s="133">
        <v>11154</v>
      </c>
      <c r="G185" s="133">
        <v>0.001</v>
      </c>
      <c r="H185" s="133">
        <v>24</v>
      </c>
      <c r="I185" s="133">
        <v>89.4</v>
      </c>
      <c r="J185" s="133">
        <v>5.27</v>
      </c>
      <c r="K185" s="133">
        <v>1</v>
      </c>
      <c r="L185" s="133">
        <v>3.9</v>
      </c>
      <c r="M185" s="133">
        <v>855341.28</v>
      </c>
      <c r="N185" s="133">
        <v>175823.8</v>
      </c>
    </row>
    <row r="186" s="133" customFormat="1" spans="1:14">
      <c r="A186" s="133" t="s">
        <v>69</v>
      </c>
      <c r="B186" s="191">
        <v>45689</v>
      </c>
      <c r="C186" s="133" t="s">
        <v>29</v>
      </c>
      <c r="D186" s="133" t="s">
        <v>18</v>
      </c>
      <c r="E186" s="133">
        <v>45209.25</v>
      </c>
      <c r="F186" s="133">
        <v>9287</v>
      </c>
      <c r="G186" s="133">
        <v>0.141</v>
      </c>
      <c r="H186" s="133">
        <v>22</v>
      </c>
      <c r="I186" s="133">
        <v>86.4</v>
      </c>
      <c r="J186" s="133">
        <v>13.22</v>
      </c>
      <c r="K186" s="133">
        <v>0</v>
      </c>
      <c r="L186" s="133">
        <v>3.6</v>
      </c>
      <c r="M186" s="133">
        <v>751393.88</v>
      </c>
      <c r="N186" s="133">
        <v>91480.32</v>
      </c>
    </row>
    <row r="187" s="133" customFormat="1" spans="1:14">
      <c r="A187" s="133" t="s">
        <v>69</v>
      </c>
      <c r="B187" s="191">
        <v>45717</v>
      </c>
      <c r="C187" s="133" t="s">
        <v>29</v>
      </c>
      <c r="D187" s="133" t="s">
        <v>18</v>
      </c>
      <c r="E187" s="133">
        <v>63010.23</v>
      </c>
      <c r="F187" s="133">
        <v>9812</v>
      </c>
      <c r="G187" s="133">
        <v>0.113</v>
      </c>
      <c r="H187" s="133">
        <v>24</v>
      </c>
      <c r="I187" s="133">
        <v>76.8</v>
      </c>
      <c r="J187" s="133">
        <v>1.02</v>
      </c>
      <c r="K187" s="133">
        <v>1</v>
      </c>
      <c r="L187" s="133">
        <v>3.8</v>
      </c>
      <c r="M187" s="133">
        <v>761077.08</v>
      </c>
      <c r="N187" s="133">
        <v>113605.93</v>
      </c>
    </row>
    <row r="188" s="133" customFormat="1" spans="1:14">
      <c r="A188" s="133" t="s">
        <v>69</v>
      </c>
      <c r="B188" s="191">
        <v>45748</v>
      </c>
      <c r="C188" s="133" t="s">
        <v>29</v>
      </c>
      <c r="D188" s="133" t="s">
        <v>18</v>
      </c>
      <c r="E188" s="133">
        <v>57948.88</v>
      </c>
      <c r="F188" s="133">
        <v>10741</v>
      </c>
      <c r="G188" s="133">
        <v>0.07</v>
      </c>
      <c r="H188" s="133">
        <v>25</v>
      </c>
      <c r="I188" s="133">
        <v>90.1</v>
      </c>
      <c r="J188" s="133">
        <v>4.03</v>
      </c>
      <c r="K188" s="133">
        <v>0</v>
      </c>
      <c r="L188" s="133">
        <v>3.1</v>
      </c>
      <c r="M188" s="133">
        <v>819660.59</v>
      </c>
      <c r="N188" s="133">
        <v>172699.95</v>
      </c>
    </row>
    <row r="189" s="133" customFormat="1" spans="1:14">
      <c r="A189" s="133" t="s">
        <v>70</v>
      </c>
      <c r="B189" s="191">
        <v>45658</v>
      </c>
      <c r="C189" s="133" t="s">
        <v>22</v>
      </c>
      <c r="D189" s="133" t="s">
        <v>20</v>
      </c>
      <c r="E189" s="133">
        <v>71941.62</v>
      </c>
      <c r="F189" s="133">
        <v>6084</v>
      </c>
      <c r="G189" s="133">
        <v>0.072</v>
      </c>
      <c r="H189" s="133">
        <v>13</v>
      </c>
      <c r="I189" s="133">
        <v>93.7</v>
      </c>
      <c r="J189" s="133">
        <v>2.34</v>
      </c>
      <c r="K189" s="133">
        <v>0</v>
      </c>
      <c r="L189" s="133">
        <v>4.4</v>
      </c>
      <c r="M189" s="133">
        <v>681855.56</v>
      </c>
      <c r="N189" s="133">
        <v>117645.61</v>
      </c>
    </row>
    <row r="190" s="133" customFormat="1" spans="1:14">
      <c r="A190" s="133" t="s">
        <v>70</v>
      </c>
      <c r="B190" s="191">
        <v>45689</v>
      </c>
      <c r="C190" s="133" t="s">
        <v>22</v>
      </c>
      <c r="D190" s="133" t="s">
        <v>20</v>
      </c>
      <c r="E190" s="133">
        <v>57147.88</v>
      </c>
      <c r="F190" s="133">
        <v>5252</v>
      </c>
      <c r="G190" s="133">
        <v>0.161</v>
      </c>
      <c r="H190" s="133">
        <v>15</v>
      </c>
      <c r="I190" s="133">
        <v>95.5</v>
      </c>
      <c r="J190" s="133">
        <v>8.51</v>
      </c>
      <c r="K190" s="133">
        <v>0</v>
      </c>
      <c r="L190" s="133">
        <v>4.4</v>
      </c>
      <c r="M190" s="133">
        <v>678311.17</v>
      </c>
      <c r="N190" s="133">
        <v>132029.76</v>
      </c>
    </row>
    <row r="191" s="133" customFormat="1" spans="1:14">
      <c r="A191" s="133" t="s">
        <v>70</v>
      </c>
      <c r="B191" s="191">
        <v>45717</v>
      </c>
      <c r="C191" s="133" t="s">
        <v>22</v>
      </c>
      <c r="D191" s="133" t="s">
        <v>20</v>
      </c>
      <c r="E191" s="133">
        <v>48031.74</v>
      </c>
      <c r="F191" s="133">
        <v>6516</v>
      </c>
      <c r="G191" s="133">
        <v>0.067</v>
      </c>
      <c r="H191" s="133">
        <v>14</v>
      </c>
      <c r="I191" s="133">
        <v>99</v>
      </c>
      <c r="J191" s="133">
        <v>0.48</v>
      </c>
      <c r="K191" s="133">
        <v>1</v>
      </c>
      <c r="L191" s="133">
        <v>4.3</v>
      </c>
      <c r="M191" s="133">
        <v>765906.95</v>
      </c>
      <c r="N191" s="133">
        <v>114005.9</v>
      </c>
    </row>
    <row r="192" s="133" customFormat="1" spans="1:14">
      <c r="A192" s="133" t="s">
        <v>70</v>
      </c>
      <c r="B192" s="191">
        <v>45748</v>
      </c>
      <c r="C192" s="133" t="s">
        <v>22</v>
      </c>
      <c r="D192" s="133" t="s">
        <v>20</v>
      </c>
      <c r="E192" s="133">
        <v>72784.8</v>
      </c>
      <c r="F192" s="133">
        <v>7932</v>
      </c>
      <c r="G192" s="133">
        <v>0.094</v>
      </c>
      <c r="H192" s="133">
        <v>20</v>
      </c>
      <c r="I192" s="133">
        <v>74.9</v>
      </c>
      <c r="J192" s="133">
        <v>13.62</v>
      </c>
      <c r="K192" s="133">
        <v>0</v>
      </c>
      <c r="L192" s="133">
        <v>4.2</v>
      </c>
      <c r="M192" s="133">
        <v>712546.38</v>
      </c>
      <c r="N192" s="133">
        <v>101480.04</v>
      </c>
    </row>
    <row r="193" s="133" customFormat="1" spans="1:14">
      <c r="A193" s="133" t="s">
        <v>71</v>
      </c>
      <c r="B193" s="191">
        <v>45658</v>
      </c>
      <c r="C193" s="133" t="s">
        <v>17</v>
      </c>
      <c r="D193" s="133" t="s">
        <v>20</v>
      </c>
      <c r="E193" s="133">
        <v>71641.9</v>
      </c>
      <c r="F193" s="133">
        <v>3506</v>
      </c>
      <c r="G193" s="133">
        <v>0</v>
      </c>
      <c r="H193" s="133">
        <v>11</v>
      </c>
      <c r="I193" s="133">
        <v>86.4</v>
      </c>
      <c r="J193" s="133">
        <v>7.77</v>
      </c>
      <c r="K193" s="133">
        <v>0</v>
      </c>
      <c r="L193" s="133">
        <v>4.1</v>
      </c>
      <c r="M193" s="133">
        <v>625993.83</v>
      </c>
      <c r="N193" s="133">
        <v>98960.32</v>
      </c>
    </row>
    <row r="194" s="133" customFormat="1" spans="1:14">
      <c r="A194" s="133" t="s">
        <v>71</v>
      </c>
      <c r="B194" s="191">
        <v>45689</v>
      </c>
      <c r="C194" s="133" t="s">
        <v>17</v>
      </c>
      <c r="D194" s="133" t="s">
        <v>20</v>
      </c>
      <c r="E194" s="133">
        <v>55788.61</v>
      </c>
      <c r="F194" s="133">
        <v>2312</v>
      </c>
      <c r="G194" s="133">
        <v>0.058</v>
      </c>
      <c r="H194" s="133">
        <v>10</v>
      </c>
      <c r="I194" s="133">
        <v>91.3</v>
      </c>
      <c r="J194" s="133">
        <v>1.99</v>
      </c>
      <c r="K194" s="133">
        <v>0</v>
      </c>
      <c r="L194" s="133">
        <v>3.8</v>
      </c>
      <c r="M194" s="133">
        <v>550962.93</v>
      </c>
      <c r="N194" s="133">
        <v>97144.58</v>
      </c>
    </row>
    <row r="195" s="133" customFormat="1" spans="1:14">
      <c r="A195" s="133" t="s">
        <v>71</v>
      </c>
      <c r="B195" s="191">
        <v>45717</v>
      </c>
      <c r="C195" s="133" t="s">
        <v>17</v>
      </c>
      <c r="D195" s="133" t="s">
        <v>20</v>
      </c>
      <c r="E195" s="133">
        <v>37705.88</v>
      </c>
      <c r="F195" s="133">
        <v>1268</v>
      </c>
      <c r="G195" s="133">
        <v>0.259</v>
      </c>
      <c r="H195" s="133">
        <v>9</v>
      </c>
      <c r="I195" s="133">
        <v>84.1</v>
      </c>
      <c r="J195" s="133">
        <v>4.77</v>
      </c>
      <c r="K195" s="133">
        <v>0</v>
      </c>
      <c r="L195" s="133">
        <v>3.8</v>
      </c>
      <c r="M195" s="133">
        <v>443275.59</v>
      </c>
      <c r="N195" s="133">
        <v>53544.36</v>
      </c>
    </row>
    <row r="196" s="133" customFormat="1" spans="1:14">
      <c r="A196" s="133" t="s">
        <v>71</v>
      </c>
      <c r="B196" s="191">
        <v>45748</v>
      </c>
      <c r="C196" s="133" t="s">
        <v>17</v>
      </c>
      <c r="D196" s="133" t="s">
        <v>20</v>
      </c>
      <c r="E196" s="133">
        <v>54966.18</v>
      </c>
      <c r="F196" s="133">
        <v>4423</v>
      </c>
      <c r="G196" s="133">
        <v>0.186</v>
      </c>
      <c r="H196" s="133">
        <v>13</v>
      </c>
      <c r="I196" s="133">
        <v>88.7</v>
      </c>
      <c r="J196" s="133">
        <v>0.2</v>
      </c>
      <c r="K196" s="133">
        <v>0</v>
      </c>
      <c r="L196" s="133">
        <v>4.4</v>
      </c>
      <c r="M196" s="133">
        <v>554012.07</v>
      </c>
      <c r="N196" s="133">
        <v>81101.62</v>
      </c>
    </row>
    <row r="197" s="133" customFormat="1" spans="1:14">
      <c r="A197" s="133" t="s">
        <v>72</v>
      </c>
      <c r="B197" s="191">
        <v>45658</v>
      </c>
      <c r="C197" s="133" t="s">
        <v>29</v>
      </c>
      <c r="D197" s="133" t="s">
        <v>18</v>
      </c>
      <c r="E197" s="133">
        <v>81796.74</v>
      </c>
      <c r="F197" s="133">
        <v>6177</v>
      </c>
      <c r="G197" s="133">
        <v>0.164</v>
      </c>
      <c r="H197" s="133">
        <v>14</v>
      </c>
      <c r="I197" s="133">
        <v>87.9</v>
      </c>
      <c r="J197" s="133">
        <v>0.53</v>
      </c>
      <c r="K197" s="133">
        <v>0</v>
      </c>
      <c r="L197" s="133">
        <v>3.2</v>
      </c>
      <c r="M197" s="133">
        <v>643428.85</v>
      </c>
      <c r="N197" s="133">
        <v>94477.63</v>
      </c>
    </row>
    <row r="198" s="133" customFormat="1" spans="1:14">
      <c r="A198" s="133" t="s">
        <v>72</v>
      </c>
      <c r="B198" s="191">
        <v>45689</v>
      </c>
      <c r="C198" s="133" t="s">
        <v>29</v>
      </c>
      <c r="D198" s="133" t="s">
        <v>18</v>
      </c>
      <c r="E198" s="133">
        <v>51133.43</v>
      </c>
      <c r="F198" s="133">
        <v>5150</v>
      </c>
      <c r="G198" s="133">
        <v>0.15</v>
      </c>
      <c r="H198" s="133">
        <v>12</v>
      </c>
      <c r="I198" s="133">
        <v>88.5</v>
      </c>
      <c r="J198" s="133">
        <v>1.54</v>
      </c>
      <c r="K198" s="133">
        <v>0</v>
      </c>
      <c r="L198" s="133">
        <v>3.2</v>
      </c>
      <c r="M198" s="133">
        <v>611924.27</v>
      </c>
      <c r="N198" s="133">
        <v>115488.75</v>
      </c>
    </row>
    <row r="199" s="133" customFormat="1" spans="1:14">
      <c r="A199" s="133" t="s">
        <v>72</v>
      </c>
      <c r="B199" s="191">
        <v>45717</v>
      </c>
      <c r="C199" s="133" t="s">
        <v>29</v>
      </c>
      <c r="D199" s="133" t="s">
        <v>18</v>
      </c>
      <c r="E199" s="133">
        <v>40220.18</v>
      </c>
      <c r="F199" s="133">
        <v>3783</v>
      </c>
      <c r="G199" s="133">
        <v>0.089</v>
      </c>
      <c r="H199" s="133">
        <v>14</v>
      </c>
      <c r="I199" s="133">
        <v>86.6</v>
      </c>
      <c r="J199" s="133">
        <v>3.63</v>
      </c>
      <c r="K199" s="133">
        <v>0</v>
      </c>
      <c r="L199" s="133">
        <v>3.7</v>
      </c>
      <c r="M199" s="133">
        <v>559422.02</v>
      </c>
      <c r="N199" s="133">
        <v>73528.74</v>
      </c>
    </row>
    <row r="200" s="133" customFormat="1" spans="1:14">
      <c r="A200" s="133" t="s">
        <v>72</v>
      </c>
      <c r="B200" s="191">
        <v>45748</v>
      </c>
      <c r="C200" s="133" t="s">
        <v>29</v>
      </c>
      <c r="D200" s="133" t="s">
        <v>18</v>
      </c>
      <c r="E200" s="133">
        <v>41657.64</v>
      </c>
      <c r="F200" s="133">
        <v>3135</v>
      </c>
      <c r="G200" s="133">
        <v>0.229</v>
      </c>
      <c r="H200" s="133">
        <v>7</v>
      </c>
      <c r="I200" s="133">
        <v>85.4</v>
      </c>
      <c r="J200" s="133">
        <v>13.48</v>
      </c>
      <c r="K200" s="133">
        <v>0</v>
      </c>
      <c r="M200" s="133">
        <v>449465.06</v>
      </c>
      <c r="N200" s="133">
        <v>65694.78</v>
      </c>
    </row>
    <row r="201" s="133" customFormat="1" spans="1:14">
      <c r="A201" s="133" t="s">
        <v>73</v>
      </c>
      <c r="B201" s="191">
        <v>45658</v>
      </c>
      <c r="C201" s="133" t="s">
        <v>22</v>
      </c>
      <c r="D201" s="133" t="s">
        <v>18</v>
      </c>
      <c r="E201" s="133">
        <v>71851.45</v>
      </c>
      <c r="F201" s="133">
        <v>4970</v>
      </c>
      <c r="G201" s="133">
        <v>0.098</v>
      </c>
      <c r="H201" s="133">
        <v>11</v>
      </c>
      <c r="I201" s="133">
        <v>89.6</v>
      </c>
      <c r="J201" s="133">
        <v>0.2</v>
      </c>
      <c r="K201" s="133">
        <v>0</v>
      </c>
      <c r="L201" s="133">
        <v>4.2</v>
      </c>
      <c r="M201" s="133">
        <v>691447.43</v>
      </c>
      <c r="N201" s="133">
        <v>114077.69</v>
      </c>
    </row>
    <row r="202" s="133" customFormat="1" spans="1:14">
      <c r="A202" s="133" t="s">
        <v>73</v>
      </c>
      <c r="B202" s="191">
        <v>45689</v>
      </c>
      <c r="C202" s="133" t="s">
        <v>22</v>
      </c>
      <c r="D202" s="133" t="s">
        <v>18</v>
      </c>
      <c r="E202" s="133">
        <v>54002.83</v>
      </c>
      <c r="F202" s="133">
        <v>4366</v>
      </c>
      <c r="G202" s="133">
        <v>0.027</v>
      </c>
      <c r="H202" s="133">
        <v>15</v>
      </c>
      <c r="I202" s="133">
        <v>90.6</v>
      </c>
      <c r="J202" s="133">
        <v>12.82</v>
      </c>
      <c r="K202" s="133">
        <v>0</v>
      </c>
      <c r="L202" s="133">
        <v>4.6</v>
      </c>
      <c r="M202" s="133">
        <v>574066.61</v>
      </c>
      <c r="N202" s="133">
        <v>124674.67</v>
      </c>
    </row>
    <row r="203" s="133" customFormat="1" spans="1:14">
      <c r="A203" s="133" t="s">
        <v>73</v>
      </c>
      <c r="B203" s="191">
        <v>45717</v>
      </c>
      <c r="C203" s="133" t="s">
        <v>22</v>
      </c>
      <c r="D203" s="133" t="s">
        <v>18</v>
      </c>
      <c r="E203" s="133">
        <v>54479.33</v>
      </c>
      <c r="F203" s="133">
        <v>5012</v>
      </c>
      <c r="G203" s="133">
        <v>0.284</v>
      </c>
      <c r="H203" s="133">
        <v>13</v>
      </c>
      <c r="I203" s="133">
        <v>86</v>
      </c>
      <c r="J203" s="133">
        <v>2.24</v>
      </c>
      <c r="K203" s="133">
        <v>1</v>
      </c>
      <c r="L203" s="133">
        <v>4.3</v>
      </c>
      <c r="M203" s="133">
        <v>578949.84</v>
      </c>
      <c r="N203" s="133">
        <v>80253.65</v>
      </c>
    </row>
    <row r="204" s="133" customFormat="1" spans="1:14">
      <c r="A204" s="133" t="s">
        <v>73</v>
      </c>
      <c r="B204" s="191">
        <v>45748</v>
      </c>
      <c r="C204" s="133" t="s">
        <v>22</v>
      </c>
      <c r="D204" s="133" t="s">
        <v>18</v>
      </c>
      <c r="E204" s="133">
        <v>61391.8</v>
      </c>
      <c r="F204" s="133">
        <v>5575</v>
      </c>
      <c r="G204" s="133">
        <v>0.189</v>
      </c>
      <c r="H204" s="133">
        <v>18</v>
      </c>
      <c r="I204" s="133">
        <v>90</v>
      </c>
      <c r="J204" s="133">
        <v>1.8</v>
      </c>
      <c r="K204" s="133">
        <v>0</v>
      </c>
      <c r="L204" s="133">
        <v>4.8</v>
      </c>
      <c r="M204" s="133">
        <v>735786.64</v>
      </c>
      <c r="N204" s="133">
        <v>126540.66</v>
      </c>
    </row>
    <row r="205" s="133" customFormat="1" spans="1:14">
      <c r="A205" s="133" t="s">
        <v>74</v>
      </c>
      <c r="B205" s="191">
        <v>45658</v>
      </c>
      <c r="C205" s="133" t="s">
        <v>17</v>
      </c>
      <c r="D205" s="133" t="s">
        <v>23</v>
      </c>
      <c r="E205" s="133">
        <v>22312.93</v>
      </c>
      <c r="F205" s="133">
        <v>5955</v>
      </c>
      <c r="G205" s="133">
        <v>0.123</v>
      </c>
      <c r="H205" s="133">
        <v>13</v>
      </c>
      <c r="I205" s="133">
        <v>84.2</v>
      </c>
      <c r="J205" s="133">
        <v>0.41</v>
      </c>
      <c r="K205" s="133">
        <v>1</v>
      </c>
      <c r="L205" s="133">
        <v>4.6</v>
      </c>
      <c r="M205" s="133">
        <v>598904.9</v>
      </c>
      <c r="N205" s="133">
        <v>72861</v>
      </c>
    </row>
    <row r="206" s="133" customFormat="1" spans="1:14">
      <c r="A206" s="133" t="s">
        <v>74</v>
      </c>
      <c r="B206" s="191">
        <v>45689</v>
      </c>
      <c r="C206" s="133" t="s">
        <v>17</v>
      </c>
      <c r="D206" s="133" t="s">
        <v>23</v>
      </c>
      <c r="E206" s="133">
        <v>78111.97</v>
      </c>
      <c r="F206" s="133">
        <v>6389</v>
      </c>
      <c r="G206" s="133">
        <v>0.15</v>
      </c>
      <c r="H206" s="133">
        <v>13</v>
      </c>
      <c r="I206" s="133">
        <v>83.9</v>
      </c>
      <c r="J206" s="133">
        <v>3.05</v>
      </c>
      <c r="K206" s="133">
        <v>0</v>
      </c>
      <c r="L206" s="133">
        <v>4.8</v>
      </c>
      <c r="M206" s="133">
        <v>787715.51</v>
      </c>
      <c r="N206" s="133">
        <v>128969.62</v>
      </c>
    </row>
    <row r="207" s="133" customFormat="1" spans="1:14">
      <c r="A207" s="133" t="s">
        <v>74</v>
      </c>
      <c r="B207" s="191">
        <v>45717</v>
      </c>
      <c r="C207" s="133" t="s">
        <v>17</v>
      </c>
      <c r="D207" s="133" t="s">
        <v>23</v>
      </c>
      <c r="E207" s="133">
        <v>35203.23</v>
      </c>
      <c r="F207" s="133">
        <v>6896</v>
      </c>
      <c r="G207" s="133">
        <v>0.032</v>
      </c>
      <c r="H207" s="133">
        <v>14</v>
      </c>
      <c r="I207" s="133">
        <v>80.8</v>
      </c>
      <c r="J207" s="133">
        <v>8.44</v>
      </c>
      <c r="K207" s="133">
        <v>1</v>
      </c>
      <c r="L207" s="133">
        <v>5</v>
      </c>
      <c r="M207" s="133">
        <v>607084.92</v>
      </c>
      <c r="N207" s="133">
        <v>98558.49</v>
      </c>
    </row>
    <row r="208" s="133" customFormat="1" spans="1:14">
      <c r="A208" s="133" t="s">
        <v>74</v>
      </c>
      <c r="B208" s="191">
        <v>45748</v>
      </c>
      <c r="C208" s="133" t="s">
        <v>17</v>
      </c>
      <c r="D208" s="133" t="s">
        <v>23</v>
      </c>
      <c r="E208" s="133">
        <v>64104.28</v>
      </c>
      <c r="F208" s="133">
        <v>6015</v>
      </c>
      <c r="G208" s="133">
        <v>0.127</v>
      </c>
      <c r="H208" s="133">
        <v>15</v>
      </c>
      <c r="I208" s="133">
        <v>88.7</v>
      </c>
      <c r="J208" s="133">
        <v>0.78</v>
      </c>
      <c r="K208" s="133">
        <v>0</v>
      </c>
      <c r="L208" s="133">
        <v>4</v>
      </c>
      <c r="M208" s="133">
        <v>650795.49</v>
      </c>
      <c r="N208" s="133">
        <v>103035.89</v>
      </c>
    </row>
    <row r="209" s="133" customFormat="1" spans="1:14">
      <c r="A209" s="133" t="s">
        <v>75</v>
      </c>
      <c r="B209" s="191">
        <v>45658</v>
      </c>
      <c r="C209" s="133" t="s">
        <v>17</v>
      </c>
      <c r="D209" s="133" t="s">
        <v>30</v>
      </c>
      <c r="E209" s="133">
        <v>92090.14</v>
      </c>
      <c r="F209" s="133">
        <v>9476</v>
      </c>
      <c r="G209" s="133">
        <v>0.07</v>
      </c>
      <c r="H209" s="133">
        <v>24</v>
      </c>
      <c r="I209" s="133">
        <v>94.3</v>
      </c>
      <c r="J209" s="133">
        <v>0.87</v>
      </c>
      <c r="K209" s="133">
        <v>0</v>
      </c>
      <c r="L209" s="133">
        <v>3.7</v>
      </c>
      <c r="M209" s="133">
        <v>825060.52</v>
      </c>
      <c r="N209" s="133">
        <v>143613.15</v>
      </c>
    </row>
    <row r="210" s="133" customFormat="1" spans="1:14">
      <c r="A210" s="133" t="s">
        <v>75</v>
      </c>
      <c r="B210" s="191">
        <v>45689</v>
      </c>
      <c r="C210" s="133" t="s">
        <v>17</v>
      </c>
      <c r="D210" s="133" t="s">
        <v>30</v>
      </c>
      <c r="E210" s="133">
        <v>54300.87</v>
      </c>
      <c r="F210" s="133">
        <v>7875</v>
      </c>
      <c r="G210" s="133">
        <v>0.107</v>
      </c>
      <c r="H210" s="133">
        <v>19</v>
      </c>
      <c r="I210" s="133">
        <v>94.1</v>
      </c>
      <c r="J210" s="133">
        <v>0.95</v>
      </c>
      <c r="K210" s="133">
        <v>0</v>
      </c>
      <c r="L210" s="133">
        <v>3.7</v>
      </c>
      <c r="M210" s="133">
        <v>795464.47</v>
      </c>
      <c r="N210" s="133">
        <v>161150.52</v>
      </c>
    </row>
    <row r="211" s="133" customFormat="1" spans="1:14">
      <c r="A211" s="133" t="s">
        <v>75</v>
      </c>
      <c r="B211" s="191">
        <v>45717</v>
      </c>
      <c r="C211" s="133" t="s">
        <v>17</v>
      </c>
      <c r="D211" s="133" t="s">
        <v>30</v>
      </c>
      <c r="E211" s="133">
        <v>37983.35</v>
      </c>
      <c r="F211" s="133">
        <v>9283</v>
      </c>
      <c r="G211" s="133">
        <v>0.149</v>
      </c>
      <c r="H211" s="133">
        <v>19</v>
      </c>
      <c r="I211" s="133">
        <v>83.2</v>
      </c>
      <c r="J211" s="133">
        <v>3.82</v>
      </c>
      <c r="K211" s="133">
        <v>0</v>
      </c>
      <c r="L211" s="133">
        <v>3.7</v>
      </c>
      <c r="M211" s="133">
        <v>671868.59</v>
      </c>
      <c r="N211" s="133">
        <v>71003.28</v>
      </c>
    </row>
    <row r="212" s="133" customFormat="1" spans="1:14">
      <c r="A212" s="133" t="s">
        <v>75</v>
      </c>
      <c r="B212" s="191">
        <v>45748</v>
      </c>
      <c r="C212" s="133" t="s">
        <v>17</v>
      </c>
      <c r="D212" s="133" t="s">
        <v>30</v>
      </c>
      <c r="E212" s="133">
        <v>56413.83</v>
      </c>
      <c r="F212" s="133">
        <v>8303</v>
      </c>
      <c r="G212" s="133">
        <v>0.116</v>
      </c>
      <c r="H212" s="133">
        <v>18</v>
      </c>
      <c r="I212" s="133">
        <v>93.6</v>
      </c>
      <c r="J212" s="133">
        <v>2.7</v>
      </c>
      <c r="K212" s="133">
        <v>0</v>
      </c>
      <c r="L212" s="133">
        <v>3.7</v>
      </c>
      <c r="M212" s="133">
        <v>675917.63</v>
      </c>
      <c r="N212" s="133">
        <v>112564.75</v>
      </c>
    </row>
    <row r="213" s="133" customFormat="1" spans="1:14">
      <c r="A213" s="133" t="s">
        <v>76</v>
      </c>
      <c r="B213" s="191">
        <v>45658</v>
      </c>
      <c r="C213" s="133" t="s">
        <v>17</v>
      </c>
      <c r="D213" s="133" t="s">
        <v>20</v>
      </c>
      <c r="E213" s="133">
        <v>63457.19</v>
      </c>
      <c r="F213" s="133">
        <v>10125</v>
      </c>
      <c r="G213" s="133">
        <v>0.097</v>
      </c>
      <c r="H213" s="133">
        <v>24</v>
      </c>
      <c r="I213" s="133">
        <v>87</v>
      </c>
      <c r="J213" s="133">
        <v>3.84</v>
      </c>
      <c r="K213" s="133">
        <v>1</v>
      </c>
      <c r="L213" s="133">
        <v>3.7</v>
      </c>
      <c r="M213" s="133">
        <v>810446.53</v>
      </c>
      <c r="N213" s="133">
        <v>200575.34</v>
      </c>
    </row>
    <row r="214" s="133" customFormat="1" spans="1:14">
      <c r="A214" s="133" t="s">
        <v>76</v>
      </c>
      <c r="B214" s="191">
        <v>45689</v>
      </c>
      <c r="C214" s="133" t="s">
        <v>17</v>
      </c>
      <c r="D214" s="133" t="s">
        <v>20</v>
      </c>
      <c r="E214" s="133">
        <v>62949.7</v>
      </c>
      <c r="F214" s="133">
        <v>9458</v>
      </c>
      <c r="G214" s="133">
        <v>0.171</v>
      </c>
      <c r="H214" s="133">
        <v>19</v>
      </c>
      <c r="I214" s="133">
        <v>84.9</v>
      </c>
      <c r="J214" s="133">
        <v>5.09</v>
      </c>
      <c r="K214" s="133">
        <v>0</v>
      </c>
      <c r="L214" s="133">
        <v>3.3</v>
      </c>
      <c r="M214" s="133">
        <v>691288.19</v>
      </c>
      <c r="N214" s="133">
        <v>159074.14</v>
      </c>
    </row>
    <row r="215" s="133" customFormat="1" spans="1:14">
      <c r="A215" s="133" t="s">
        <v>76</v>
      </c>
      <c r="B215" s="191">
        <v>45717</v>
      </c>
      <c r="C215" s="133" t="s">
        <v>17</v>
      </c>
      <c r="D215" s="133" t="s">
        <v>20</v>
      </c>
      <c r="E215" s="133">
        <v>107970.19</v>
      </c>
      <c r="F215" s="133">
        <v>12870</v>
      </c>
      <c r="G215" s="133">
        <v>0.029</v>
      </c>
      <c r="H215" s="133">
        <v>31</v>
      </c>
      <c r="I215" s="133">
        <v>91.7</v>
      </c>
      <c r="J215" s="133">
        <v>3.82</v>
      </c>
      <c r="K215" s="133">
        <v>1</v>
      </c>
      <c r="L215" s="133">
        <v>3.7</v>
      </c>
      <c r="M215" s="133">
        <v>946833.54</v>
      </c>
      <c r="N215" s="133">
        <v>184540.31</v>
      </c>
    </row>
    <row r="216" s="133" customFormat="1" spans="1:14">
      <c r="A216" s="133" t="s">
        <v>76</v>
      </c>
      <c r="B216" s="191">
        <v>45748</v>
      </c>
      <c r="C216" s="133" t="s">
        <v>17</v>
      </c>
      <c r="D216" s="133" t="s">
        <v>20</v>
      </c>
      <c r="E216" s="133">
        <v>49405.75</v>
      </c>
      <c r="F216" s="133">
        <v>9752</v>
      </c>
      <c r="G216" s="133">
        <v>0.093</v>
      </c>
      <c r="H216" s="133">
        <v>21</v>
      </c>
      <c r="I216" s="133">
        <v>87</v>
      </c>
      <c r="J216" s="133">
        <v>12.28</v>
      </c>
      <c r="K216" s="133">
        <v>0</v>
      </c>
      <c r="L216" s="133">
        <v>4.1</v>
      </c>
      <c r="M216" s="133">
        <v>761963.23</v>
      </c>
      <c r="N216" s="133">
        <v>150113.61</v>
      </c>
    </row>
    <row r="217" s="133" customFormat="1" spans="1:14">
      <c r="A217" s="133" t="s">
        <v>77</v>
      </c>
      <c r="B217" s="191">
        <v>45658</v>
      </c>
      <c r="C217" s="133" t="s">
        <v>29</v>
      </c>
      <c r="D217" s="133" t="s">
        <v>18</v>
      </c>
      <c r="E217" s="133">
        <v>50887.46</v>
      </c>
      <c r="F217" s="133">
        <v>9505</v>
      </c>
      <c r="G217" s="133">
        <v>0.091</v>
      </c>
      <c r="H217" s="133">
        <v>25</v>
      </c>
      <c r="I217" s="133">
        <v>89.7</v>
      </c>
      <c r="J217" s="133">
        <v>2.8</v>
      </c>
      <c r="K217" s="133">
        <v>0</v>
      </c>
      <c r="L217" s="133">
        <v>4.3</v>
      </c>
      <c r="M217" s="133">
        <v>812152.6</v>
      </c>
      <c r="N217" s="133">
        <v>138419.43</v>
      </c>
    </row>
    <row r="218" s="133" customFormat="1" spans="1:14">
      <c r="A218" s="133" t="s">
        <v>77</v>
      </c>
      <c r="B218" s="191">
        <v>45689</v>
      </c>
      <c r="C218" s="133" t="s">
        <v>29</v>
      </c>
      <c r="D218" s="133" t="s">
        <v>18</v>
      </c>
      <c r="E218" s="133">
        <v>41819.45</v>
      </c>
      <c r="F218" s="133">
        <v>9412</v>
      </c>
      <c r="G218" s="133">
        <v>0.15</v>
      </c>
      <c r="H218" s="133">
        <v>22</v>
      </c>
      <c r="I218" s="133">
        <v>91</v>
      </c>
      <c r="J218" s="133">
        <v>3.67</v>
      </c>
      <c r="K218" s="133">
        <v>0</v>
      </c>
      <c r="L218" s="133">
        <v>4.2</v>
      </c>
      <c r="M218" s="133">
        <v>804975.5</v>
      </c>
      <c r="N218" s="133">
        <v>140054.5</v>
      </c>
    </row>
    <row r="219" s="133" customFormat="1" spans="1:14">
      <c r="A219" s="133" t="s">
        <v>77</v>
      </c>
      <c r="B219" s="191">
        <v>45717</v>
      </c>
      <c r="C219" s="133" t="s">
        <v>29</v>
      </c>
      <c r="D219" s="133" t="s">
        <v>18</v>
      </c>
      <c r="E219" s="133">
        <v>35296.54</v>
      </c>
      <c r="F219" s="133">
        <v>9644</v>
      </c>
      <c r="G219" s="133">
        <v>0</v>
      </c>
      <c r="H219" s="133">
        <v>22</v>
      </c>
      <c r="I219" s="133">
        <v>88</v>
      </c>
      <c r="J219" s="133">
        <v>2.81</v>
      </c>
      <c r="K219" s="133">
        <v>0</v>
      </c>
      <c r="L219" s="133">
        <v>4.7</v>
      </c>
      <c r="M219" s="133">
        <v>752321.72</v>
      </c>
      <c r="N219" s="133">
        <v>137788.51</v>
      </c>
    </row>
    <row r="220" s="133" customFormat="1" spans="1:14">
      <c r="A220" s="133" t="s">
        <v>77</v>
      </c>
      <c r="B220" s="191">
        <v>45748</v>
      </c>
      <c r="C220" s="133" t="s">
        <v>29</v>
      </c>
      <c r="D220" s="133" t="s">
        <v>18</v>
      </c>
      <c r="E220" s="133">
        <v>47391.09</v>
      </c>
      <c r="F220" s="133">
        <v>11224</v>
      </c>
      <c r="G220" s="133">
        <v>0.147</v>
      </c>
      <c r="H220" s="133">
        <v>25</v>
      </c>
      <c r="I220" s="133">
        <v>88.4</v>
      </c>
      <c r="J220" s="133">
        <v>2.44</v>
      </c>
      <c r="K220" s="133">
        <v>0</v>
      </c>
      <c r="L220" s="133">
        <v>4.9</v>
      </c>
      <c r="M220" s="133">
        <v>836908.24</v>
      </c>
      <c r="N220" s="133">
        <v>141090.26</v>
      </c>
    </row>
    <row r="221" s="133" customFormat="1" spans="1:14">
      <c r="A221" s="133" t="s">
        <v>78</v>
      </c>
      <c r="B221" s="191">
        <v>45658</v>
      </c>
      <c r="C221" s="133" t="s">
        <v>22</v>
      </c>
      <c r="D221" s="133" t="s">
        <v>23</v>
      </c>
      <c r="E221" s="133">
        <v>69180.54</v>
      </c>
      <c r="F221" s="133">
        <v>5394</v>
      </c>
      <c r="G221" s="133">
        <v>0.126</v>
      </c>
      <c r="H221" s="133">
        <v>12</v>
      </c>
      <c r="I221" s="133">
        <v>82.9</v>
      </c>
      <c r="J221" s="133">
        <v>3.27</v>
      </c>
      <c r="K221" s="133">
        <v>0</v>
      </c>
      <c r="L221" s="133">
        <v>3.3</v>
      </c>
      <c r="M221" s="133">
        <v>674289.1</v>
      </c>
      <c r="N221" s="133">
        <v>117773.79</v>
      </c>
    </row>
    <row r="222" s="133" customFormat="1" spans="1:14">
      <c r="A222" s="133" t="s">
        <v>78</v>
      </c>
      <c r="B222" s="191">
        <v>45689</v>
      </c>
      <c r="C222" s="133" t="s">
        <v>22</v>
      </c>
      <c r="D222" s="133" t="s">
        <v>23</v>
      </c>
      <c r="E222" s="133">
        <v>33987.33</v>
      </c>
      <c r="F222" s="133">
        <v>5014</v>
      </c>
      <c r="G222" s="133">
        <v>0.246</v>
      </c>
      <c r="H222" s="133">
        <v>17</v>
      </c>
      <c r="I222" s="133">
        <v>94.3</v>
      </c>
      <c r="J222" s="133">
        <v>10.34</v>
      </c>
      <c r="K222" s="133">
        <v>0</v>
      </c>
      <c r="L222" s="133">
        <v>3.9</v>
      </c>
      <c r="M222" s="133">
        <v>622892.42</v>
      </c>
      <c r="N222" s="133">
        <v>101032.52</v>
      </c>
    </row>
    <row r="223" s="133" customFormat="1" spans="1:14">
      <c r="A223" s="133" t="s">
        <v>78</v>
      </c>
      <c r="B223" s="191">
        <v>45717</v>
      </c>
      <c r="C223" s="133" t="s">
        <v>22</v>
      </c>
      <c r="D223" s="133" t="s">
        <v>23</v>
      </c>
      <c r="E223" s="133">
        <v>58785.33</v>
      </c>
      <c r="F223" s="133">
        <v>4467</v>
      </c>
      <c r="G223" s="133">
        <v>0.229</v>
      </c>
      <c r="H223" s="133">
        <v>14</v>
      </c>
      <c r="I223" s="133">
        <v>90.7</v>
      </c>
      <c r="J223" s="133">
        <v>1.92</v>
      </c>
      <c r="K223" s="133">
        <v>0</v>
      </c>
      <c r="L223" s="133">
        <v>3.7</v>
      </c>
      <c r="M223" s="133">
        <v>673348.56</v>
      </c>
      <c r="N223" s="133">
        <v>69464.59</v>
      </c>
    </row>
    <row r="224" s="133" customFormat="1" spans="1:14">
      <c r="A224" s="133" t="s">
        <v>78</v>
      </c>
      <c r="B224" s="191">
        <v>45748</v>
      </c>
      <c r="C224" s="133" t="s">
        <v>22</v>
      </c>
      <c r="D224" s="133" t="s">
        <v>23</v>
      </c>
      <c r="E224" s="133">
        <v>16451.85</v>
      </c>
      <c r="F224" s="133">
        <v>4678</v>
      </c>
      <c r="G224" s="133">
        <v>0.133</v>
      </c>
      <c r="H224" s="133">
        <v>11</v>
      </c>
      <c r="I224" s="133">
        <v>95.9</v>
      </c>
      <c r="J224" s="133">
        <v>3.1</v>
      </c>
      <c r="K224" s="133">
        <v>0</v>
      </c>
      <c r="L224" s="133">
        <v>3.9</v>
      </c>
      <c r="M224" s="133">
        <v>606278.3</v>
      </c>
      <c r="N224" s="133">
        <v>102213.26</v>
      </c>
    </row>
    <row r="225" s="133" customFormat="1" spans="1:14">
      <c r="A225" s="133" t="s">
        <v>79</v>
      </c>
      <c r="B225" s="191">
        <v>45658</v>
      </c>
      <c r="C225" s="133" t="s">
        <v>17</v>
      </c>
      <c r="D225" s="133" t="s">
        <v>20</v>
      </c>
      <c r="E225" s="133">
        <v>53367.73</v>
      </c>
      <c r="F225" s="133">
        <v>7291</v>
      </c>
      <c r="G225" s="133">
        <v>0.146</v>
      </c>
      <c r="H225" s="133">
        <v>18</v>
      </c>
      <c r="I225" s="133">
        <v>90.6</v>
      </c>
      <c r="J225" s="133">
        <v>6.34</v>
      </c>
      <c r="K225" s="133">
        <v>1</v>
      </c>
      <c r="L225" s="133">
        <v>3.8</v>
      </c>
      <c r="M225" s="133">
        <v>712219.81</v>
      </c>
      <c r="N225" s="133">
        <v>85906.54</v>
      </c>
    </row>
    <row r="226" s="133" customFormat="1" spans="1:14">
      <c r="A226" s="133" t="s">
        <v>79</v>
      </c>
      <c r="B226" s="191">
        <v>45689</v>
      </c>
      <c r="C226" s="133" t="s">
        <v>17</v>
      </c>
      <c r="D226" s="133" t="s">
        <v>20</v>
      </c>
      <c r="E226" s="133">
        <v>27194.64</v>
      </c>
      <c r="F226" s="133">
        <v>7404</v>
      </c>
      <c r="G226" s="133">
        <v>0.088</v>
      </c>
      <c r="H226" s="133">
        <v>18</v>
      </c>
      <c r="I226" s="133">
        <v>90.2</v>
      </c>
      <c r="J226" s="133">
        <v>1.2</v>
      </c>
      <c r="K226" s="133">
        <v>0</v>
      </c>
      <c r="L226" s="133">
        <v>3.4</v>
      </c>
      <c r="M226" s="133">
        <v>672670.54</v>
      </c>
      <c r="N226" s="133">
        <v>132684.18</v>
      </c>
    </row>
    <row r="227" s="133" customFormat="1" spans="1:14">
      <c r="A227" s="133" t="s">
        <v>79</v>
      </c>
      <c r="B227" s="191">
        <v>45717</v>
      </c>
      <c r="C227" s="133" t="s">
        <v>17</v>
      </c>
      <c r="D227" s="133" t="s">
        <v>20</v>
      </c>
      <c r="E227" s="133">
        <v>66962.74</v>
      </c>
      <c r="F227" s="133">
        <v>7880</v>
      </c>
      <c r="G227" s="133">
        <v>0.116</v>
      </c>
      <c r="H227" s="133">
        <v>19</v>
      </c>
      <c r="I227" s="133">
        <v>90.4</v>
      </c>
      <c r="J227" s="133">
        <v>4.5</v>
      </c>
      <c r="K227" s="133">
        <v>0</v>
      </c>
      <c r="L227" s="133">
        <v>3.3</v>
      </c>
      <c r="M227" s="133">
        <v>732667.92</v>
      </c>
      <c r="N227" s="133">
        <v>128654.46</v>
      </c>
    </row>
    <row r="228" s="133" customFormat="1" spans="1:14">
      <c r="A228" s="133" t="s">
        <v>79</v>
      </c>
      <c r="B228" s="191">
        <v>45748</v>
      </c>
      <c r="C228" s="133" t="s">
        <v>17</v>
      </c>
      <c r="D228" s="133" t="s">
        <v>20</v>
      </c>
      <c r="E228" s="133">
        <v>73540.99</v>
      </c>
      <c r="F228" s="133">
        <v>8773</v>
      </c>
      <c r="G228" s="133">
        <v>0.035</v>
      </c>
      <c r="H228" s="133">
        <v>21</v>
      </c>
      <c r="I228" s="133">
        <v>84.4</v>
      </c>
      <c r="J228" s="133">
        <v>6.68</v>
      </c>
      <c r="K228" s="133">
        <v>0</v>
      </c>
      <c r="L228" s="133">
        <v>3.6</v>
      </c>
      <c r="M228" s="133">
        <v>723531.4</v>
      </c>
      <c r="N228" s="133">
        <v>108794.85</v>
      </c>
    </row>
    <row r="229" s="133" customFormat="1" spans="1:14">
      <c r="A229" s="133" t="s">
        <v>80</v>
      </c>
      <c r="B229" s="191">
        <v>45658</v>
      </c>
      <c r="C229" s="133" t="s">
        <v>17</v>
      </c>
      <c r="D229" s="133" t="s">
        <v>30</v>
      </c>
      <c r="E229" s="133">
        <v>68212.29</v>
      </c>
      <c r="F229" s="133">
        <v>4713</v>
      </c>
      <c r="G229" s="133">
        <v>0.198</v>
      </c>
      <c r="H229" s="133">
        <v>15</v>
      </c>
      <c r="I229" s="133">
        <v>82.6</v>
      </c>
      <c r="J229" s="133">
        <v>4.07</v>
      </c>
      <c r="K229" s="133">
        <v>1</v>
      </c>
      <c r="L229" s="133">
        <v>3</v>
      </c>
      <c r="M229" s="133">
        <v>641564.6</v>
      </c>
      <c r="N229" s="133">
        <v>90468.96</v>
      </c>
    </row>
    <row r="230" s="133" customFormat="1" spans="1:14">
      <c r="A230" s="133" t="s">
        <v>80</v>
      </c>
      <c r="B230" s="191">
        <v>45689</v>
      </c>
      <c r="C230" s="133" t="s">
        <v>17</v>
      </c>
      <c r="D230" s="133" t="s">
        <v>30</v>
      </c>
      <c r="E230" s="133">
        <v>57225.98</v>
      </c>
      <c r="F230" s="133">
        <v>2842</v>
      </c>
      <c r="G230" s="133">
        <v>0.112</v>
      </c>
      <c r="H230" s="133">
        <v>10</v>
      </c>
      <c r="I230" s="133">
        <v>79.5</v>
      </c>
      <c r="J230" s="133">
        <v>5.45</v>
      </c>
      <c r="K230" s="133">
        <v>0</v>
      </c>
      <c r="L230" s="133">
        <v>3.4</v>
      </c>
      <c r="M230" s="133">
        <v>536545.49</v>
      </c>
      <c r="N230" s="133">
        <v>97917.45</v>
      </c>
    </row>
    <row r="231" s="133" customFormat="1" spans="1:14">
      <c r="A231" s="133" t="s">
        <v>80</v>
      </c>
      <c r="B231" s="191">
        <v>45717</v>
      </c>
      <c r="C231" s="133" t="s">
        <v>17</v>
      </c>
      <c r="D231" s="133" t="s">
        <v>30</v>
      </c>
      <c r="E231" s="133">
        <v>42932.02</v>
      </c>
      <c r="F231" s="133">
        <v>3872</v>
      </c>
      <c r="G231" s="133">
        <v>0.171</v>
      </c>
      <c r="H231" s="133">
        <v>12</v>
      </c>
      <c r="I231" s="133">
        <v>83.2</v>
      </c>
      <c r="J231" s="133">
        <v>15.58</v>
      </c>
      <c r="K231" s="133">
        <v>0</v>
      </c>
      <c r="L231" s="133">
        <v>3.3</v>
      </c>
      <c r="M231" s="133">
        <v>527681.56</v>
      </c>
      <c r="N231" s="133">
        <v>63153.05</v>
      </c>
    </row>
    <row r="232" s="133" customFormat="1" spans="1:14">
      <c r="A232" s="133" t="s">
        <v>80</v>
      </c>
      <c r="B232" s="191">
        <v>45748</v>
      </c>
      <c r="C232" s="133" t="s">
        <v>17</v>
      </c>
      <c r="D232" s="133" t="s">
        <v>30</v>
      </c>
      <c r="E232" s="133">
        <v>39341.45</v>
      </c>
      <c r="F232" s="133">
        <v>1375</v>
      </c>
      <c r="G232" s="133">
        <v>0.093</v>
      </c>
      <c r="H232" s="133">
        <v>5</v>
      </c>
      <c r="I232" s="133">
        <v>95</v>
      </c>
      <c r="J232" s="133">
        <v>5.32</v>
      </c>
      <c r="K232" s="133">
        <v>0</v>
      </c>
      <c r="M232" s="133">
        <v>529598.94</v>
      </c>
      <c r="N232" s="133">
        <v>84334.33</v>
      </c>
    </row>
    <row r="233" s="133" customFormat="1" spans="1:14">
      <c r="A233" s="133" t="s">
        <v>81</v>
      </c>
      <c r="B233" s="191">
        <v>45658</v>
      </c>
      <c r="C233" s="133" t="s">
        <v>17</v>
      </c>
      <c r="D233" s="133" t="s">
        <v>20</v>
      </c>
      <c r="E233" s="133">
        <v>37324.23</v>
      </c>
      <c r="F233" s="133">
        <v>5957</v>
      </c>
      <c r="G233" s="133">
        <v>0.071</v>
      </c>
      <c r="H233" s="133">
        <v>12</v>
      </c>
      <c r="I233" s="133">
        <v>85.9</v>
      </c>
      <c r="J233" s="133">
        <v>0.37</v>
      </c>
      <c r="K233" s="133">
        <v>0</v>
      </c>
      <c r="L233" s="133">
        <v>3.8</v>
      </c>
      <c r="M233" s="133">
        <v>570963.31</v>
      </c>
      <c r="N233" s="133">
        <v>87342.25</v>
      </c>
    </row>
    <row r="234" s="133" customFormat="1" spans="1:14">
      <c r="A234" s="133" t="s">
        <v>81</v>
      </c>
      <c r="B234" s="191">
        <v>45689</v>
      </c>
      <c r="C234" s="133" t="s">
        <v>17</v>
      </c>
      <c r="D234" s="133" t="s">
        <v>20</v>
      </c>
      <c r="E234" s="133">
        <v>113736</v>
      </c>
      <c r="F234" s="133">
        <v>8961</v>
      </c>
      <c r="G234" s="133">
        <v>0.202</v>
      </c>
      <c r="H234" s="133">
        <v>24</v>
      </c>
      <c r="I234" s="133">
        <v>86.2</v>
      </c>
      <c r="J234" s="133">
        <v>21.63</v>
      </c>
      <c r="K234" s="133">
        <v>0</v>
      </c>
      <c r="L234" s="133">
        <v>4</v>
      </c>
      <c r="M234" s="133">
        <v>870937.4</v>
      </c>
      <c r="N234" s="133">
        <v>175282.74</v>
      </c>
    </row>
    <row r="235" s="133" customFormat="1" spans="1:14">
      <c r="A235" s="133" t="s">
        <v>81</v>
      </c>
      <c r="B235" s="191">
        <v>45717</v>
      </c>
      <c r="C235" s="133" t="s">
        <v>17</v>
      </c>
      <c r="D235" s="133" t="s">
        <v>20</v>
      </c>
      <c r="E235" s="133">
        <v>33173.95</v>
      </c>
      <c r="F235" s="133">
        <v>6545</v>
      </c>
      <c r="G235" s="133">
        <v>0.169</v>
      </c>
      <c r="H235" s="133">
        <v>15</v>
      </c>
      <c r="I235" s="133">
        <v>84.4</v>
      </c>
      <c r="J235" s="133">
        <v>2.48</v>
      </c>
      <c r="K235" s="133">
        <v>0</v>
      </c>
      <c r="L235" s="133">
        <v>3.9</v>
      </c>
      <c r="M235" s="133">
        <v>596969.27</v>
      </c>
      <c r="N235" s="133">
        <v>105669.51</v>
      </c>
    </row>
    <row r="236" s="133" customFormat="1" spans="1:14">
      <c r="A236" s="133" t="s">
        <v>81</v>
      </c>
      <c r="B236" s="191">
        <v>45748</v>
      </c>
      <c r="C236" s="133" t="s">
        <v>17</v>
      </c>
      <c r="D236" s="133" t="s">
        <v>20</v>
      </c>
      <c r="E236" s="133">
        <v>25818.08</v>
      </c>
      <c r="F236" s="133">
        <v>5457</v>
      </c>
      <c r="G236" s="133">
        <v>0</v>
      </c>
      <c r="H236" s="133">
        <v>11</v>
      </c>
      <c r="I236" s="133">
        <v>95.4</v>
      </c>
      <c r="K236" s="133">
        <v>0</v>
      </c>
      <c r="L236" s="133">
        <v>3.7</v>
      </c>
      <c r="M236" s="133">
        <v>647512.85</v>
      </c>
      <c r="N236" s="133">
        <v>153835.57</v>
      </c>
    </row>
    <row r="237" s="133" customFormat="1" spans="1:14">
      <c r="A237" s="133" t="s">
        <v>82</v>
      </c>
      <c r="B237" s="191">
        <v>45658</v>
      </c>
      <c r="C237" s="133" t="s">
        <v>29</v>
      </c>
      <c r="D237" s="133" t="s">
        <v>18</v>
      </c>
      <c r="E237" s="133">
        <v>47241.92</v>
      </c>
      <c r="F237" s="133">
        <v>4264</v>
      </c>
      <c r="G237" s="133">
        <v>0.069</v>
      </c>
      <c r="H237" s="133">
        <v>13</v>
      </c>
      <c r="I237" s="133">
        <v>95.3</v>
      </c>
      <c r="J237" s="133">
        <v>0.85</v>
      </c>
      <c r="K237" s="133">
        <v>0</v>
      </c>
      <c r="L237" s="133">
        <v>4.3</v>
      </c>
      <c r="M237" s="133">
        <v>658072.14</v>
      </c>
      <c r="N237" s="133">
        <v>110595.89</v>
      </c>
    </row>
    <row r="238" s="133" customFormat="1" spans="1:14">
      <c r="A238" s="133" t="s">
        <v>82</v>
      </c>
      <c r="B238" s="191">
        <v>45689</v>
      </c>
      <c r="C238" s="133" t="s">
        <v>29</v>
      </c>
      <c r="D238" s="133" t="s">
        <v>18</v>
      </c>
      <c r="E238" s="133">
        <v>61650.79</v>
      </c>
      <c r="F238" s="133">
        <v>5321</v>
      </c>
      <c r="G238" s="133">
        <v>0.126</v>
      </c>
      <c r="H238" s="133">
        <v>17</v>
      </c>
      <c r="I238" s="133">
        <v>89.2</v>
      </c>
      <c r="J238" s="133">
        <v>2.13</v>
      </c>
      <c r="K238" s="133">
        <v>0</v>
      </c>
      <c r="L238" s="133">
        <v>4</v>
      </c>
      <c r="M238" s="133">
        <v>723305.11</v>
      </c>
      <c r="N238" s="133">
        <v>128468.7</v>
      </c>
    </row>
    <row r="239" s="133" customFormat="1" spans="1:14">
      <c r="A239" s="133" t="s">
        <v>82</v>
      </c>
      <c r="B239" s="191">
        <v>45717</v>
      </c>
      <c r="C239" s="133" t="s">
        <v>29</v>
      </c>
      <c r="D239" s="133" t="s">
        <v>18</v>
      </c>
      <c r="E239" s="133">
        <v>62582.71</v>
      </c>
      <c r="F239" s="133">
        <v>5479</v>
      </c>
      <c r="G239" s="133">
        <v>0.048</v>
      </c>
      <c r="H239" s="133">
        <v>16</v>
      </c>
      <c r="I239" s="133">
        <v>81.2</v>
      </c>
      <c r="J239" s="133">
        <v>1.46</v>
      </c>
      <c r="K239" s="133">
        <v>0</v>
      </c>
      <c r="L239" s="133">
        <v>4.5</v>
      </c>
      <c r="M239" s="133">
        <v>640666.53</v>
      </c>
      <c r="N239" s="133">
        <v>134919.16</v>
      </c>
    </row>
    <row r="240" s="133" customFormat="1" spans="1:14">
      <c r="A240" s="133" t="s">
        <v>82</v>
      </c>
      <c r="B240" s="191">
        <v>45748</v>
      </c>
      <c r="C240" s="133" t="s">
        <v>29</v>
      </c>
      <c r="D240" s="133" t="s">
        <v>18</v>
      </c>
      <c r="E240" s="133">
        <v>47944.14</v>
      </c>
      <c r="F240" s="133">
        <v>6169</v>
      </c>
      <c r="G240" s="133">
        <v>0.119</v>
      </c>
      <c r="H240" s="133">
        <v>17</v>
      </c>
      <c r="I240" s="133">
        <v>92.2</v>
      </c>
      <c r="J240" s="133">
        <v>3.02</v>
      </c>
      <c r="K240" s="133">
        <v>0</v>
      </c>
      <c r="L240" s="133">
        <v>4.1</v>
      </c>
      <c r="M240" s="133">
        <v>670629.48</v>
      </c>
      <c r="N240" s="133">
        <v>100140.8</v>
      </c>
    </row>
    <row r="241" s="133" customFormat="1" spans="1:14">
      <c r="A241" s="133" t="s">
        <v>83</v>
      </c>
      <c r="B241" s="191">
        <v>45658</v>
      </c>
      <c r="C241" s="133" t="s">
        <v>29</v>
      </c>
      <c r="D241" s="133" t="s">
        <v>30</v>
      </c>
      <c r="E241" s="133">
        <v>46495.4</v>
      </c>
      <c r="F241" s="133">
        <v>9908</v>
      </c>
      <c r="G241" s="133">
        <v>0.121</v>
      </c>
      <c r="H241" s="133">
        <v>22</v>
      </c>
      <c r="I241" s="133">
        <v>89.4</v>
      </c>
      <c r="J241" s="133">
        <v>3.22</v>
      </c>
      <c r="K241" s="133">
        <v>0</v>
      </c>
      <c r="L241" s="133">
        <v>3.7</v>
      </c>
      <c r="M241" s="133">
        <v>721079.35</v>
      </c>
      <c r="N241" s="133">
        <v>115295.05</v>
      </c>
    </row>
    <row r="242" s="133" customFormat="1" spans="1:14">
      <c r="A242" s="133" t="s">
        <v>83</v>
      </c>
      <c r="B242" s="191">
        <v>45689</v>
      </c>
      <c r="C242" s="133" t="s">
        <v>29</v>
      </c>
      <c r="D242" s="133" t="s">
        <v>30</v>
      </c>
      <c r="E242" s="133">
        <v>72961.95</v>
      </c>
      <c r="F242" s="133">
        <v>9996</v>
      </c>
      <c r="G242" s="133">
        <v>0.106</v>
      </c>
      <c r="H242" s="133">
        <v>22</v>
      </c>
      <c r="I242" s="133">
        <v>89.1</v>
      </c>
      <c r="J242" s="133">
        <v>15.66</v>
      </c>
      <c r="K242" s="133">
        <v>0</v>
      </c>
      <c r="L242" s="133">
        <v>3.4</v>
      </c>
      <c r="M242" s="133">
        <v>810355.02</v>
      </c>
      <c r="N242" s="133">
        <v>131510</v>
      </c>
    </row>
    <row r="243" s="133" customFormat="1" spans="1:14">
      <c r="A243" s="133" t="s">
        <v>83</v>
      </c>
      <c r="B243" s="191">
        <v>45717</v>
      </c>
      <c r="C243" s="133" t="s">
        <v>29</v>
      </c>
      <c r="D243" s="133" t="s">
        <v>30</v>
      </c>
      <c r="E243" s="133">
        <v>59060.05</v>
      </c>
      <c r="F243" s="133">
        <v>9702</v>
      </c>
      <c r="G243" s="133">
        <v>0.201</v>
      </c>
      <c r="H243" s="133">
        <v>23</v>
      </c>
      <c r="I243" s="133">
        <v>80.9</v>
      </c>
      <c r="J243" s="133">
        <v>6.96</v>
      </c>
      <c r="K243" s="133">
        <v>0</v>
      </c>
      <c r="L243" s="133">
        <v>3.2</v>
      </c>
      <c r="M243" s="133">
        <v>761919.25</v>
      </c>
      <c r="N243" s="133">
        <v>111893.06</v>
      </c>
    </row>
    <row r="244" s="133" customFormat="1" spans="1:14">
      <c r="A244" s="133" t="s">
        <v>83</v>
      </c>
      <c r="B244" s="191">
        <v>45748</v>
      </c>
      <c r="C244" s="133" t="s">
        <v>29</v>
      </c>
      <c r="D244" s="133" t="s">
        <v>30</v>
      </c>
      <c r="E244" s="133">
        <v>26248.1</v>
      </c>
      <c r="F244" s="133">
        <v>9314</v>
      </c>
      <c r="G244" s="133">
        <v>0.186</v>
      </c>
      <c r="H244" s="133">
        <v>21</v>
      </c>
      <c r="I244" s="133">
        <v>83.7</v>
      </c>
      <c r="J244" s="133">
        <v>4.62</v>
      </c>
      <c r="K244" s="133">
        <v>0</v>
      </c>
      <c r="L244" s="133">
        <v>3.3</v>
      </c>
      <c r="M244" s="133">
        <v>737070.18</v>
      </c>
      <c r="N244" s="133">
        <v>117593.97</v>
      </c>
    </row>
    <row r="245" s="133" customFormat="1" spans="1:14">
      <c r="A245" s="133" t="s">
        <v>84</v>
      </c>
      <c r="B245" s="191">
        <v>45658</v>
      </c>
      <c r="C245" s="133" t="s">
        <v>26</v>
      </c>
      <c r="D245" s="133" t="s">
        <v>23</v>
      </c>
      <c r="E245" s="133">
        <v>69900.12</v>
      </c>
      <c r="F245" s="133">
        <v>8055</v>
      </c>
      <c r="G245" s="133">
        <v>0.281</v>
      </c>
      <c r="H245" s="133">
        <v>22</v>
      </c>
      <c r="I245" s="133">
        <v>85.6</v>
      </c>
      <c r="J245" s="133">
        <v>10.68</v>
      </c>
      <c r="K245" s="133">
        <v>1</v>
      </c>
      <c r="L245" s="133">
        <v>2.9</v>
      </c>
      <c r="M245" s="133">
        <v>776992.93</v>
      </c>
      <c r="N245" s="133">
        <v>101598.32</v>
      </c>
    </row>
    <row r="246" s="133" customFormat="1" spans="1:14">
      <c r="A246" s="133" t="s">
        <v>84</v>
      </c>
      <c r="B246" s="191">
        <v>45689</v>
      </c>
      <c r="C246" s="133" t="s">
        <v>26</v>
      </c>
      <c r="D246" s="133" t="s">
        <v>23</v>
      </c>
      <c r="E246" s="133">
        <v>51781.6</v>
      </c>
      <c r="F246" s="133">
        <v>5648</v>
      </c>
      <c r="G246" s="133">
        <v>0.059</v>
      </c>
      <c r="H246" s="133">
        <v>13</v>
      </c>
      <c r="I246" s="133">
        <v>85.5</v>
      </c>
      <c r="J246" s="133">
        <v>4.04</v>
      </c>
      <c r="K246" s="133">
        <v>0</v>
      </c>
      <c r="L246" s="133">
        <v>3.7</v>
      </c>
      <c r="M246" s="133">
        <v>676337.41</v>
      </c>
      <c r="N246" s="133">
        <v>104355.77</v>
      </c>
    </row>
    <row r="247" s="133" customFormat="1" spans="1:14">
      <c r="A247" s="133" t="s">
        <v>84</v>
      </c>
      <c r="B247" s="191">
        <v>45717</v>
      </c>
      <c r="C247" s="133" t="s">
        <v>26</v>
      </c>
      <c r="D247" s="133" t="s">
        <v>23</v>
      </c>
      <c r="E247" s="133">
        <v>70799.64</v>
      </c>
      <c r="F247" s="133">
        <v>10076</v>
      </c>
      <c r="G247" s="133">
        <v>0.152</v>
      </c>
      <c r="H247" s="133">
        <v>24</v>
      </c>
      <c r="I247" s="133">
        <v>84.8</v>
      </c>
      <c r="J247" s="133">
        <v>1.87</v>
      </c>
      <c r="K247" s="133">
        <v>0</v>
      </c>
      <c r="L247" s="133">
        <v>3.5</v>
      </c>
      <c r="M247" s="133">
        <v>828219.67</v>
      </c>
      <c r="N247" s="133">
        <v>179806.87</v>
      </c>
    </row>
    <row r="248" s="133" customFormat="1" spans="1:14">
      <c r="A248" s="133" t="s">
        <v>84</v>
      </c>
      <c r="B248" s="191">
        <v>45748</v>
      </c>
      <c r="C248" s="133" t="s">
        <v>26</v>
      </c>
      <c r="D248" s="133" t="s">
        <v>23</v>
      </c>
      <c r="E248" s="133">
        <v>53546.34</v>
      </c>
      <c r="F248" s="133">
        <v>8004</v>
      </c>
      <c r="G248" s="133">
        <v>0</v>
      </c>
      <c r="H248" s="133">
        <v>21</v>
      </c>
      <c r="I248" s="133">
        <v>95.2</v>
      </c>
      <c r="J248" s="133">
        <v>2.83</v>
      </c>
      <c r="K248" s="133">
        <v>0</v>
      </c>
      <c r="L248" s="133">
        <v>3</v>
      </c>
      <c r="M248" s="133">
        <v>763159.92</v>
      </c>
      <c r="N248" s="133">
        <v>177104.87</v>
      </c>
    </row>
    <row r="249" s="133" customFormat="1" spans="1:14">
      <c r="A249" s="133" t="s">
        <v>85</v>
      </c>
      <c r="B249" s="191">
        <v>45658</v>
      </c>
      <c r="C249" s="133" t="s">
        <v>17</v>
      </c>
      <c r="D249" s="133" t="s">
        <v>20</v>
      </c>
      <c r="E249" s="133">
        <v>76942.2</v>
      </c>
      <c r="F249" s="133">
        <v>8934</v>
      </c>
      <c r="G249" s="133">
        <v>0.084</v>
      </c>
      <c r="H249" s="133">
        <v>20</v>
      </c>
      <c r="I249" s="133">
        <v>91</v>
      </c>
      <c r="J249" s="133">
        <v>0.95</v>
      </c>
      <c r="K249" s="133">
        <v>0</v>
      </c>
      <c r="L249" s="133">
        <v>3.2</v>
      </c>
      <c r="M249" s="133">
        <v>802001.68</v>
      </c>
      <c r="N249" s="133">
        <v>159715.82</v>
      </c>
    </row>
    <row r="250" s="133" customFormat="1" spans="1:14">
      <c r="A250" s="133" t="s">
        <v>85</v>
      </c>
      <c r="B250" s="191">
        <v>45689</v>
      </c>
      <c r="C250" s="133" t="s">
        <v>17</v>
      </c>
      <c r="D250" s="133" t="s">
        <v>20</v>
      </c>
      <c r="E250" s="133">
        <v>48060.78</v>
      </c>
      <c r="F250" s="133">
        <v>8733</v>
      </c>
      <c r="G250" s="133">
        <v>0</v>
      </c>
      <c r="H250" s="133">
        <v>20</v>
      </c>
      <c r="I250" s="133">
        <v>89.9</v>
      </c>
      <c r="J250" s="133">
        <v>0.8</v>
      </c>
      <c r="K250" s="133">
        <v>0</v>
      </c>
      <c r="L250" s="133">
        <v>3.4</v>
      </c>
      <c r="M250" s="133">
        <v>750471.34</v>
      </c>
      <c r="N250" s="133">
        <v>133788.04</v>
      </c>
    </row>
    <row r="251" s="133" customFormat="1" spans="1:14">
      <c r="A251" s="133" t="s">
        <v>85</v>
      </c>
      <c r="B251" s="191">
        <v>45717</v>
      </c>
      <c r="C251" s="133" t="s">
        <v>17</v>
      </c>
      <c r="D251" s="133" t="s">
        <v>20</v>
      </c>
      <c r="E251" s="133">
        <v>57390.04</v>
      </c>
      <c r="F251" s="133">
        <v>7374</v>
      </c>
      <c r="G251" s="133">
        <v>0.21</v>
      </c>
      <c r="H251" s="133">
        <v>21</v>
      </c>
      <c r="I251" s="133">
        <v>91.8</v>
      </c>
      <c r="J251" s="133">
        <v>0.2</v>
      </c>
      <c r="K251" s="133">
        <v>0</v>
      </c>
      <c r="L251" s="133">
        <v>3.1</v>
      </c>
      <c r="M251" s="133">
        <v>679230.86</v>
      </c>
      <c r="N251" s="133">
        <v>106927.58</v>
      </c>
    </row>
    <row r="252" s="133" customFormat="1" spans="1:14">
      <c r="A252" s="133" t="s">
        <v>85</v>
      </c>
      <c r="B252" s="191">
        <v>45748</v>
      </c>
      <c r="C252" s="133" t="s">
        <v>17</v>
      </c>
      <c r="D252" s="133" t="s">
        <v>20</v>
      </c>
      <c r="E252" s="133">
        <v>21536.18</v>
      </c>
      <c r="F252" s="133">
        <v>8119</v>
      </c>
      <c r="G252" s="133">
        <v>0.227</v>
      </c>
      <c r="H252" s="133">
        <v>20</v>
      </c>
      <c r="I252" s="133">
        <v>90.4</v>
      </c>
      <c r="J252" s="133">
        <v>1.7</v>
      </c>
      <c r="K252" s="133">
        <v>0</v>
      </c>
      <c r="L252" s="133">
        <v>3.3</v>
      </c>
      <c r="M252" s="133">
        <v>679888.74</v>
      </c>
      <c r="N252" s="133">
        <v>83406.89</v>
      </c>
    </row>
    <row r="253" s="133" customFormat="1" spans="1:14">
      <c r="A253" s="133" t="s">
        <v>86</v>
      </c>
      <c r="B253" s="191">
        <v>45658</v>
      </c>
      <c r="C253" s="133" t="s">
        <v>22</v>
      </c>
      <c r="D253" s="133" t="s">
        <v>20</v>
      </c>
      <c r="E253" s="133">
        <v>40923.67</v>
      </c>
      <c r="F253" s="133">
        <v>3875</v>
      </c>
      <c r="G253" s="133">
        <v>0.15</v>
      </c>
      <c r="H253" s="133">
        <v>10</v>
      </c>
      <c r="I253" s="133">
        <v>96.1</v>
      </c>
      <c r="K253" s="133">
        <v>0</v>
      </c>
      <c r="L253" s="133">
        <v>3.8</v>
      </c>
      <c r="M253" s="133">
        <v>606783.67</v>
      </c>
      <c r="N253" s="133">
        <v>74515.87</v>
      </c>
    </row>
    <row r="254" s="133" customFormat="1" spans="1:14">
      <c r="A254" s="133" t="s">
        <v>86</v>
      </c>
      <c r="B254" s="191">
        <v>45689</v>
      </c>
      <c r="C254" s="133" t="s">
        <v>22</v>
      </c>
      <c r="D254" s="133" t="s">
        <v>20</v>
      </c>
      <c r="E254" s="133">
        <v>72932.55</v>
      </c>
      <c r="F254" s="133">
        <v>5765</v>
      </c>
      <c r="G254" s="133">
        <v>0.026</v>
      </c>
      <c r="H254" s="133">
        <v>17</v>
      </c>
      <c r="I254" s="133">
        <v>81.8</v>
      </c>
      <c r="J254" s="133">
        <v>5.1</v>
      </c>
      <c r="K254" s="133">
        <v>0</v>
      </c>
      <c r="L254" s="133">
        <v>3.6</v>
      </c>
      <c r="M254" s="133">
        <v>642751.42</v>
      </c>
      <c r="N254" s="133">
        <v>131942.15</v>
      </c>
    </row>
    <row r="255" s="133" customFormat="1" spans="1:14">
      <c r="A255" s="133" t="s">
        <v>86</v>
      </c>
      <c r="B255" s="191">
        <v>45717</v>
      </c>
      <c r="C255" s="133" t="s">
        <v>22</v>
      </c>
      <c r="D255" s="133" t="s">
        <v>20</v>
      </c>
      <c r="E255" s="133">
        <v>38361.93</v>
      </c>
      <c r="F255" s="133">
        <v>6322</v>
      </c>
      <c r="G255" s="133">
        <v>0.273</v>
      </c>
      <c r="H255" s="133">
        <v>15</v>
      </c>
      <c r="I255" s="133">
        <v>88.4</v>
      </c>
      <c r="J255" s="133">
        <v>0.83</v>
      </c>
      <c r="K255" s="133">
        <v>0</v>
      </c>
      <c r="L255" s="133">
        <v>4</v>
      </c>
      <c r="M255" s="133">
        <v>647953.78</v>
      </c>
      <c r="N255" s="133">
        <v>118497.43</v>
      </c>
    </row>
    <row r="256" s="133" customFormat="1" spans="1:14">
      <c r="A256" s="133" t="s">
        <v>86</v>
      </c>
      <c r="B256" s="191">
        <v>45748</v>
      </c>
      <c r="C256" s="133" t="s">
        <v>22</v>
      </c>
      <c r="D256" s="133" t="s">
        <v>20</v>
      </c>
      <c r="E256" s="133">
        <v>97480.94</v>
      </c>
      <c r="F256" s="133">
        <v>6840</v>
      </c>
      <c r="G256" s="133">
        <v>0.087</v>
      </c>
      <c r="H256" s="133">
        <v>14</v>
      </c>
      <c r="I256" s="133">
        <v>79.2</v>
      </c>
      <c r="J256" s="133">
        <v>1.14</v>
      </c>
      <c r="K256" s="133">
        <v>0</v>
      </c>
      <c r="L256" s="133">
        <v>4</v>
      </c>
      <c r="M256" s="133">
        <v>729440.45</v>
      </c>
      <c r="N256" s="133">
        <v>87614.29</v>
      </c>
    </row>
    <row r="257" s="133" customFormat="1" spans="1:14">
      <c r="A257" s="133" t="s">
        <v>87</v>
      </c>
      <c r="B257" s="191">
        <v>45658</v>
      </c>
      <c r="C257" s="133" t="s">
        <v>26</v>
      </c>
      <c r="D257" s="133" t="s">
        <v>23</v>
      </c>
      <c r="E257" s="133">
        <v>81801.8</v>
      </c>
      <c r="F257" s="133">
        <v>6782</v>
      </c>
      <c r="G257" s="133">
        <v>0.05</v>
      </c>
      <c r="H257" s="133">
        <v>16</v>
      </c>
      <c r="I257" s="133">
        <v>99</v>
      </c>
      <c r="J257" s="133">
        <v>9.54</v>
      </c>
      <c r="K257" s="133">
        <v>0</v>
      </c>
      <c r="L257" s="133">
        <v>3.7</v>
      </c>
      <c r="M257" s="133">
        <v>764949</v>
      </c>
      <c r="N257" s="133">
        <v>148322.43</v>
      </c>
    </row>
    <row r="258" s="133" customFormat="1" spans="1:14">
      <c r="A258" s="133" t="s">
        <v>87</v>
      </c>
      <c r="B258" s="191">
        <v>45689</v>
      </c>
      <c r="C258" s="133" t="s">
        <v>26</v>
      </c>
      <c r="D258" s="133" t="s">
        <v>23</v>
      </c>
      <c r="E258" s="133">
        <v>63582.11</v>
      </c>
      <c r="F258" s="133">
        <v>6856</v>
      </c>
      <c r="G258" s="133">
        <v>0.074</v>
      </c>
      <c r="H258" s="133">
        <v>17</v>
      </c>
      <c r="I258" s="133">
        <v>89.5</v>
      </c>
      <c r="J258" s="133">
        <v>5.48</v>
      </c>
      <c r="K258" s="133">
        <v>0</v>
      </c>
      <c r="L258" s="133">
        <v>3.2</v>
      </c>
      <c r="M258" s="133">
        <v>799046.94</v>
      </c>
      <c r="N258" s="133">
        <v>144553.64</v>
      </c>
    </row>
    <row r="259" s="133" customFormat="1" spans="1:14">
      <c r="A259" s="133" t="s">
        <v>87</v>
      </c>
      <c r="B259" s="191">
        <v>45717</v>
      </c>
      <c r="C259" s="133" t="s">
        <v>26</v>
      </c>
      <c r="D259" s="133" t="s">
        <v>23</v>
      </c>
      <c r="E259" s="133">
        <v>75412.74</v>
      </c>
      <c r="F259" s="133">
        <v>5641</v>
      </c>
      <c r="G259" s="133">
        <v>0.059</v>
      </c>
      <c r="H259" s="133">
        <v>13</v>
      </c>
      <c r="I259" s="133">
        <v>87.9</v>
      </c>
      <c r="J259" s="133">
        <v>0.84</v>
      </c>
      <c r="K259" s="133">
        <v>0</v>
      </c>
      <c r="L259" s="133">
        <v>3.6</v>
      </c>
      <c r="M259" s="133">
        <v>720079.54</v>
      </c>
      <c r="N259" s="133">
        <v>119499.47</v>
      </c>
    </row>
    <row r="260" s="133" customFormat="1" spans="1:14">
      <c r="A260" s="133" t="s">
        <v>87</v>
      </c>
      <c r="B260" s="191">
        <v>45748</v>
      </c>
      <c r="C260" s="133" t="s">
        <v>26</v>
      </c>
      <c r="D260" s="133" t="s">
        <v>23</v>
      </c>
      <c r="E260" s="133">
        <v>36290.08</v>
      </c>
      <c r="F260" s="133">
        <v>5787</v>
      </c>
      <c r="G260" s="133">
        <v>0</v>
      </c>
      <c r="H260" s="133">
        <v>17</v>
      </c>
      <c r="I260" s="133">
        <v>88.3</v>
      </c>
      <c r="J260" s="133">
        <v>4.19</v>
      </c>
      <c r="K260" s="133">
        <v>0</v>
      </c>
      <c r="L260" s="133">
        <v>4.1</v>
      </c>
      <c r="M260" s="133">
        <v>612390.14</v>
      </c>
      <c r="N260" s="133">
        <v>108985.74</v>
      </c>
    </row>
    <row r="261" s="133" customFormat="1" spans="1:14">
      <c r="A261" s="133" t="s">
        <v>88</v>
      </c>
      <c r="B261" s="191">
        <v>45658</v>
      </c>
      <c r="C261" s="133" t="s">
        <v>26</v>
      </c>
      <c r="D261" s="133" t="s">
        <v>30</v>
      </c>
      <c r="E261" s="133">
        <v>65272.58</v>
      </c>
      <c r="F261" s="133">
        <v>8165</v>
      </c>
      <c r="G261" s="133">
        <v>0.051</v>
      </c>
      <c r="H261" s="133">
        <v>19</v>
      </c>
      <c r="I261" s="133">
        <v>87.8</v>
      </c>
      <c r="J261" s="133">
        <v>1.26</v>
      </c>
      <c r="K261" s="133">
        <v>1</v>
      </c>
      <c r="L261" s="133">
        <v>4.3</v>
      </c>
      <c r="M261" s="133">
        <v>840108.12</v>
      </c>
      <c r="N261" s="133">
        <v>126587.01</v>
      </c>
    </row>
    <row r="262" s="133" customFormat="1" spans="1:14">
      <c r="A262" s="133" t="s">
        <v>88</v>
      </c>
      <c r="B262" s="191">
        <v>45689</v>
      </c>
      <c r="C262" s="133" t="s">
        <v>26</v>
      </c>
      <c r="D262" s="133" t="s">
        <v>30</v>
      </c>
      <c r="E262" s="133">
        <v>28670.43</v>
      </c>
      <c r="F262" s="133">
        <v>7574</v>
      </c>
      <c r="G262" s="133">
        <v>0.114</v>
      </c>
      <c r="H262" s="133">
        <v>19</v>
      </c>
      <c r="I262" s="133">
        <v>82.7</v>
      </c>
      <c r="J262" s="133">
        <v>2.74</v>
      </c>
      <c r="K262" s="133">
        <v>0</v>
      </c>
      <c r="L262" s="133">
        <v>4.6</v>
      </c>
      <c r="M262" s="133">
        <v>697888.09</v>
      </c>
      <c r="N262" s="133">
        <v>116249.87</v>
      </c>
    </row>
    <row r="263" s="133" customFormat="1" spans="1:14">
      <c r="A263" s="133" t="s">
        <v>88</v>
      </c>
      <c r="B263" s="191">
        <v>45717</v>
      </c>
      <c r="C263" s="133" t="s">
        <v>26</v>
      </c>
      <c r="D263" s="133" t="s">
        <v>30</v>
      </c>
      <c r="E263" s="133">
        <v>44189.34</v>
      </c>
      <c r="F263" s="133">
        <v>8634</v>
      </c>
      <c r="G263" s="133">
        <v>0.143</v>
      </c>
      <c r="H263" s="133">
        <v>19</v>
      </c>
      <c r="I263" s="133">
        <v>87.5</v>
      </c>
      <c r="J263" s="133">
        <v>3.69</v>
      </c>
      <c r="K263" s="133">
        <v>0</v>
      </c>
      <c r="L263" s="133">
        <v>4.4</v>
      </c>
      <c r="M263" s="133">
        <v>746115.59</v>
      </c>
      <c r="N263" s="133">
        <v>94662.96</v>
      </c>
    </row>
    <row r="264" s="133" customFormat="1" spans="1:14">
      <c r="A264" s="133" t="s">
        <v>88</v>
      </c>
      <c r="B264" s="191">
        <v>45748</v>
      </c>
      <c r="C264" s="133" t="s">
        <v>26</v>
      </c>
      <c r="D264" s="133" t="s">
        <v>30</v>
      </c>
      <c r="E264" s="133">
        <v>38397.82</v>
      </c>
      <c r="F264" s="133">
        <v>7836</v>
      </c>
      <c r="G264" s="133">
        <v>0.007</v>
      </c>
      <c r="H264" s="133">
        <v>21</v>
      </c>
      <c r="I264" s="133">
        <v>92.2</v>
      </c>
      <c r="J264" s="133">
        <v>1.82</v>
      </c>
      <c r="K264" s="133">
        <v>0</v>
      </c>
      <c r="L264" s="133">
        <v>3.6</v>
      </c>
      <c r="M264" s="133">
        <v>776110.32</v>
      </c>
      <c r="N264" s="133">
        <v>139676.21</v>
      </c>
    </row>
    <row r="265" s="133" customFormat="1" spans="1:14">
      <c r="A265" s="133" t="s">
        <v>89</v>
      </c>
      <c r="B265" s="191">
        <v>45658</v>
      </c>
      <c r="C265" s="133" t="s">
        <v>29</v>
      </c>
      <c r="D265" s="133" t="s">
        <v>20</v>
      </c>
      <c r="E265" s="133">
        <v>14519.37</v>
      </c>
      <c r="F265" s="133">
        <v>3047</v>
      </c>
      <c r="G265" s="133">
        <v>0.135</v>
      </c>
      <c r="H265" s="133">
        <v>10</v>
      </c>
      <c r="I265" s="133">
        <v>90.3</v>
      </c>
      <c r="J265" s="133">
        <v>6.62</v>
      </c>
      <c r="K265" s="133">
        <v>0</v>
      </c>
      <c r="L265" s="133">
        <v>4.2</v>
      </c>
      <c r="M265" s="133">
        <v>528852.62</v>
      </c>
      <c r="N265" s="133">
        <v>68426.21</v>
      </c>
    </row>
    <row r="266" s="133" customFormat="1" spans="1:14">
      <c r="A266" s="133" t="s">
        <v>89</v>
      </c>
      <c r="B266" s="191">
        <v>45689</v>
      </c>
      <c r="C266" s="133" t="s">
        <v>29</v>
      </c>
      <c r="D266" s="133" t="s">
        <v>20</v>
      </c>
      <c r="E266" s="133">
        <v>43288.2</v>
      </c>
      <c r="F266" s="133">
        <v>4783</v>
      </c>
      <c r="G266" s="133">
        <v>0.169</v>
      </c>
      <c r="H266" s="133">
        <v>13</v>
      </c>
      <c r="I266" s="133">
        <v>87.3</v>
      </c>
      <c r="K266" s="133">
        <v>0</v>
      </c>
      <c r="L266" s="133">
        <v>4.2</v>
      </c>
      <c r="M266" s="133">
        <v>605751.33</v>
      </c>
      <c r="N266" s="133">
        <v>60685.53</v>
      </c>
    </row>
    <row r="267" s="133" customFormat="1" spans="1:14">
      <c r="A267" s="133" t="s">
        <v>89</v>
      </c>
      <c r="B267" s="191">
        <v>45717</v>
      </c>
      <c r="C267" s="133" t="s">
        <v>29</v>
      </c>
      <c r="D267" s="133" t="s">
        <v>20</v>
      </c>
      <c r="E267" s="133">
        <v>51450.55</v>
      </c>
      <c r="F267" s="133">
        <v>4902</v>
      </c>
      <c r="G267" s="133">
        <v>0.086</v>
      </c>
      <c r="H267" s="133">
        <v>11</v>
      </c>
      <c r="I267" s="133">
        <v>83.7</v>
      </c>
      <c r="J267" s="133">
        <v>6.92</v>
      </c>
      <c r="K267" s="133">
        <v>1</v>
      </c>
      <c r="L267" s="133">
        <v>4.2</v>
      </c>
      <c r="M267" s="133">
        <v>677640.65</v>
      </c>
      <c r="N267" s="133">
        <v>111610.89</v>
      </c>
    </row>
    <row r="268" s="133" customFormat="1" spans="1:14">
      <c r="A268" s="133" t="s">
        <v>89</v>
      </c>
      <c r="B268" s="191">
        <v>45748</v>
      </c>
      <c r="C268" s="133" t="s">
        <v>29</v>
      </c>
      <c r="D268" s="133" t="s">
        <v>20</v>
      </c>
      <c r="E268" s="133">
        <v>58688.26</v>
      </c>
      <c r="F268" s="133">
        <v>4022</v>
      </c>
      <c r="G268" s="133">
        <v>0.217</v>
      </c>
      <c r="H268" s="133">
        <v>12</v>
      </c>
      <c r="I268" s="133">
        <v>93.8</v>
      </c>
      <c r="J268" s="133">
        <v>11.78</v>
      </c>
      <c r="K268" s="133">
        <v>0</v>
      </c>
      <c r="L268" s="133">
        <v>3.7</v>
      </c>
      <c r="M268" s="133">
        <v>636613.23</v>
      </c>
      <c r="N268" s="133">
        <v>78908.35</v>
      </c>
    </row>
    <row r="269" s="133" customFormat="1" spans="1:14">
      <c r="A269" s="133" t="s">
        <v>90</v>
      </c>
      <c r="B269" s="191">
        <v>45658</v>
      </c>
      <c r="C269" s="133" t="s">
        <v>17</v>
      </c>
      <c r="D269" s="133" t="s">
        <v>20</v>
      </c>
      <c r="E269" s="133">
        <v>58981.91</v>
      </c>
      <c r="F269" s="133">
        <v>7324</v>
      </c>
      <c r="G269" s="133">
        <v>0.094</v>
      </c>
      <c r="H269" s="133">
        <v>15</v>
      </c>
      <c r="I269" s="133">
        <v>95.8</v>
      </c>
      <c r="J269" s="133">
        <v>0.5</v>
      </c>
      <c r="K269" s="133">
        <v>0</v>
      </c>
      <c r="L269" s="133">
        <v>3.5</v>
      </c>
      <c r="M269" s="133">
        <v>708985.19</v>
      </c>
      <c r="N269" s="133">
        <v>125368.16</v>
      </c>
    </row>
    <row r="270" s="133" customFormat="1" spans="1:14">
      <c r="A270" s="133" t="s">
        <v>90</v>
      </c>
      <c r="B270" s="191">
        <v>45689</v>
      </c>
      <c r="C270" s="133" t="s">
        <v>17</v>
      </c>
      <c r="D270" s="133" t="s">
        <v>20</v>
      </c>
      <c r="E270" s="133">
        <v>73454.54</v>
      </c>
      <c r="F270" s="133">
        <v>8129</v>
      </c>
      <c r="G270" s="133">
        <v>0.211</v>
      </c>
      <c r="H270" s="133">
        <v>20</v>
      </c>
      <c r="I270" s="133">
        <v>85.2</v>
      </c>
      <c r="J270" s="133">
        <v>0.88</v>
      </c>
      <c r="K270" s="133">
        <v>0</v>
      </c>
      <c r="L270" s="133">
        <v>3.7</v>
      </c>
      <c r="M270" s="133">
        <v>767792.94</v>
      </c>
      <c r="N270" s="133">
        <v>96235.77</v>
      </c>
    </row>
    <row r="271" s="133" customFormat="1" spans="1:14">
      <c r="A271" s="133" t="s">
        <v>90</v>
      </c>
      <c r="B271" s="191">
        <v>45717</v>
      </c>
      <c r="C271" s="133" t="s">
        <v>17</v>
      </c>
      <c r="D271" s="133" t="s">
        <v>20</v>
      </c>
      <c r="E271" s="133">
        <v>56602.39</v>
      </c>
      <c r="F271" s="133">
        <v>7969</v>
      </c>
      <c r="G271" s="133">
        <v>0.17</v>
      </c>
      <c r="H271" s="133">
        <v>21</v>
      </c>
      <c r="I271" s="133">
        <v>88.3</v>
      </c>
      <c r="J271" s="133">
        <v>2.25</v>
      </c>
      <c r="K271" s="133">
        <v>0</v>
      </c>
      <c r="L271" s="133">
        <v>3.7</v>
      </c>
      <c r="M271" s="133">
        <v>745580.51</v>
      </c>
      <c r="N271" s="133">
        <v>116273.68</v>
      </c>
    </row>
    <row r="272" s="133" customFormat="1" spans="1:14">
      <c r="A272" s="133" t="s">
        <v>90</v>
      </c>
      <c r="B272" s="191">
        <v>45748</v>
      </c>
      <c r="C272" s="133" t="s">
        <v>17</v>
      </c>
      <c r="D272" s="133" t="s">
        <v>20</v>
      </c>
      <c r="E272" s="133">
        <v>67722.29</v>
      </c>
      <c r="F272" s="133">
        <v>7240</v>
      </c>
      <c r="G272" s="133">
        <v>0.026</v>
      </c>
      <c r="H272" s="133">
        <v>15</v>
      </c>
      <c r="I272" s="133">
        <v>92.9</v>
      </c>
      <c r="J272" s="133">
        <v>0.29</v>
      </c>
      <c r="K272" s="133">
        <v>0</v>
      </c>
      <c r="L272" s="133">
        <v>3.5</v>
      </c>
      <c r="M272" s="133">
        <v>762328.31</v>
      </c>
      <c r="N272" s="133">
        <v>159158.19</v>
      </c>
    </row>
    <row r="273" s="133" customFormat="1" spans="1:14">
      <c r="A273" s="133" t="s">
        <v>91</v>
      </c>
      <c r="B273" s="191">
        <v>45658</v>
      </c>
      <c r="C273" s="133" t="s">
        <v>17</v>
      </c>
      <c r="D273" s="133" t="s">
        <v>30</v>
      </c>
      <c r="E273" s="133">
        <v>48752.92</v>
      </c>
      <c r="F273" s="133">
        <v>8052</v>
      </c>
      <c r="G273" s="133">
        <v>0.106</v>
      </c>
      <c r="H273" s="133">
        <v>16</v>
      </c>
      <c r="I273" s="133">
        <v>94.9</v>
      </c>
      <c r="J273" s="133">
        <v>0.65</v>
      </c>
      <c r="K273" s="133">
        <v>0</v>
      </c>
      <c r="L273" s="133">
        <v>3.6</v>
      </c>
      <c r="M273" s="133">
        <v>660633.99</v>
      </c>
      <c r="N273" s="133">
        <v>118768.66</v>
      </c>
    </row>
    <row r="274" s="133" customFormat="1" spans="1:14">
      <c r="A274" s="133" t="s">
        <v>91</v>
      </c>
      <c r="B274" s="191">
        <v>45689</v>
      </c>
      <c r="C274" s="133" t="s">
        <v>17</v>
      </c>
      <c r="D274" s="133" t="s">
        <v>30</v>
      </c>
      <c r="E274" s="133">
        <v>23914.97</v>
      </c>
      <c r="F274" s="133">
        <v>8018</v>
      </c>
      <c r="G274" s="133">
        <v>0.139</v>
      </c>
      <c r="H274" s="133">
        <v>20</v>
      </c>
      <c r="I274" s="133">
        <v>89</v>
      </c>
      <c r="J274" s="133">
        <v>0.2</v>
      </c>
      <c r="K274" s="133">
        <v>0</v>
      </c>
      <c r="L274" s="133">
        <v>3.5</v>
      </c>
      <c r="M274" s="133">
        <v>739374.56</v>
      </c>
      <c r="N274" s="133">
        <v>121032.29</v>
      </c>
    </row>
    <row r="275" s="133" customFormat="1" spans="1:14">
      <c r="A275" s="133" t="s">
        <v>91</v>
      </c>
      <c r="B275" s="191">
        <v>45717</v>
      </c>
      <c r="C275" s="133" t="s">
        <v>17</v>
      </c>
      <c r="D275" s="133" t="s">
        <v>30</v>
      </c>
      <c r="E275" s="133">
        <v>61995.3</v>
      </c>
      <c r="F275" s="133">
        <v>10192</v>
      </c>
      <c r="G275" s="133">
        <v>0.198</v>
      </c>
      <c r="H275" s="133">
        <v>21</v>
      </c>
      <c r="I275" s="133">
        <v>87.6</v>
      </c>
      <c r="J275" s="133">
        <v>3.63</v>
      </c>
      <c r="K275" s="133">
        <v>1</v>
      </c>
      <c r="L275" s="133">
        <v>3.8</v>
      </c>
      <c r="M275" s="133">
        <v>799756.46</v>
      </c>
      <c r="N275" s="133">
        <v>105052.93</v>
      </c>
    </row>
    <row r="276" s="133" customFormat="1" spans="1:14">
      <c r="A276" s="133" t="s">
        <v>91</v>
      </c>
      <c r="B276" s="191">
        <v>45748</v>
      </c>
      <c r="C276" s="133" t="s">
        <v>17</v>
      </c>
      <c r="D276" s="133" t="s">
        <v>30</v>
      </c>
      <c r="E276" s="133">
        <v>29344.93</v>
      </c>
      <c r="F276" s="133">
        <v>7446</v>
      </c>
      <c r="G276" s="133">
        <v>0.111</v>
      </c>
      <c r="H276" s="133">
        <v>15</v>
      </c>
      <c r="I276" s="133">
        <v>86.2</v>
      </c>
      <c r="J276" s="133">
        <v>0.2</v>
      </c>
      <c r="K276" s="133">
        <v>0</v>
      </c>
      <c r="L276" s="133">
        <v>3.2</v>
      </c>
      <c r="M276" s="133">
        <v>593343</v>
      </c>
      <c r="N276" s="133">
        <v>82832.24</v>
      </c>
    </row>
    <row r="277" s="133" customFormat="1" spans="1:14">
      <c r="A277" s="133" t="s">
        <v>92</v>
      </c>
      <c r="B277" s="191">
        <v>45658</v>
      </c>
      <c r="C277" s="133" t="s">
        <v>29</v>
      </c>
      <c r="D277" s="133" t="s">
        <v>20</v>
      </c>
      <c r="E277" s="133">
        <v>50532.17</v>
      </c>
      <c r="F277" s="133">
        <v>5689</v>
      </c>
      <c r="G277" s="133">
        <v>0.052</v>
      </c>
      <c r="H277" s="133">
        <v>17</v>
      </c>
      <c r="I277" s="133">
        <v>85.6</v>
      </c>
      <c r="J277" s="133">
        <v>6.23</v>
      </c>
      <c r="K277" s="133">
        <v>0</v>
      </c>
      <c r="L277" s="133">
        <v>3.3</v>
      </c>
      <c r="M277" s="133">
        <v>645039.97</v>
      </c>
      <c r="N277" s="133">
        <v>83093.33</v>
      </c>
    </row>
    <row r="278" s="133" customFormat="1" spans="1:14">
      <c r="A278" s="133" t="s">
        <v>92</v>
      </c>
      <c r="B278" s="191">
        <v>45689</v>
      </c>
      <c r="C278" s="133" t="s">
        <v>29</v>
      </c>
      <c r="D278" s="133" t="s">
        <v>20</v>
      </c>
      <c r="E278" s="133">
        <v>17562.57</v>
      </c>
      <c r="F278" s="133">
        <v>3326</v>
      </c>
      <c r="G278" s="133">
        <v>0.153</v>
      </c>
      <c r="H278" s="133">
        <v>14</v>
      </c>
      <c r="I278" s="133">
        <v>88.1</v>
      </c>
      <c r="J278" s="133">
        <v>1.04</v>
      </c>
      <c r="K278" s="133">
        <v>0</v>
      </c>
      <c r="L278" s="133">
        <v>3.1</v>
      </c>
      <c r="M278" s="133">
        <v>561597.33</v>
      </c>
      <c r="N278" s="133">
        <v>75072.75</v>
      </c>
    </row>
    <row r="279" s="133" customFormat="1" spans="1:14">
      <c r="A279" s="133" t="s">
        <v>92</v>
      </c>
      <c r="B279" s="191">
        <v>45717</v>
      </c>
      <c r="C279" s="133" t="s">
        <v>29</v>
      </c>
      <c r="D279" s="133" t="s">
        <v>20</v>
      </c>
      <c r="E279" s="133">
        <v>47648.71</v>
      </c>
      <c r="F279" s="133">
        <v>5767</v>
      </c>
      <c r="G279" s="133">
        <v>0.141</v>
      </c>
      <c r="H279" s="133">
        <v>17</v>
      </c>
      <c r="I279" s="133">
        <v>89.8</v>
      </c>
      <c r="J279" s="133">
        <v>1.76</v>
      </c>
      <c r="K279" s="133">
        <v>0</v>
      </c>
      <c r="L279" s="133">
        <v>3.1</v>
      </c>
      <c r="M279" s="133">
        <v>635837.74</v>
      </c>
      <c r="N279" s="133">
        <v>114740.64</v>
      </c>
    </row>
    <row r="280" s="133" customFormat="1" spans="1:14">
      <c r="A280" s="133" t="s">
        <v>92</v>
      </c>
      <c r="B280" s="191">
        <v>45748</v>
      </c>
      <c r="C280" s="133" t="s">
        <v>29</v>
      </c>
      <c r="D280" s="133" t="s">
        <v>20</v>
      </c>
      <c r="E280" s="133">
        <v>38297.58</v>
      </c>
      <c r="F280" s="133">
        <v>5893</v>
      </c>
      <c r="G280" s="133">
        <v>0.247</v>
      </c>
      <c r="H280" s="133">
        <v>18</v>
      </c>
      <c r="I280" s="133">
        <v>77.6</v>
      </c>
      <c r="J280" s="133">
        <v>2.86</v>
      </c>
      <c r="K280" s="133">
        <v>0</v>
      </c>
      <c r="L280" s="133">
        <v>3</v>
      </c>
      <c r="M280" s="133">
        <v>686737.87</v>
      </c>
      <c r="N280" s="133">
        <v>83839.67</v>
      </c>
    </row>
    <row r="281" s="133" customFormat="1" spans="1:14">
      <c r="A281" s="133" t="s">
        <v>93</v>
      </c>
      <c r="B281" s="191">
        <v>45658</v>
      </c>
      <c r="C281" s="133" t="s">
        <v>26</v>
      </c>
      <c r="D281" s="133" t="s">
        <v>18</v>
      </c>
      <c r="E281" s="133">
        <v>61784.11</v>
      </c>
      <c r="F281" s="133">
        <v>8564</v>
      </c>
      <c r="G281" s="133">
        <v>0.13</v>
      </c>
      <c r="H281" s="133">
        <v>17</v>
      </c>
      <c r="I281" s="133">
        <v>87.4</v>
      </c>
      <c r="J281" s="133">
        <v>18.14</v>
      </c>
      <c r="K281" s="133">
        <v>1</v>
      </c>
      <c r="L281" s="133">
        <v>3.4</v>
      </c>
      <c r="M281" s="133">
        <v>673076.34</v>
      </c>
      <c r="N281" s="133">
        <v>93899.76</v>
      </c>
    </row>
    <row r="282" s="133" customFormat="1" spans="1:14">
      <c r="A282" s="133" t="s">
        <v>93</v>
      </c>
      <c r="B282" s="191">
        <v>45689</v>
      </c>
      <c r="C282" s="133" t="s">
        <v>26</v>
      </c>
      <c r="D282" s="133" t="s">
        <v>18</v>
      </c>
      <c r="E282" s="133">
        <v>36832.33</v>
      </c>
      <c r="F282" s="133">
        <v>8001</v>
      </c>
      <c r="G282" s="133">
        <v>0</v>
      </c>
      <c r="H282" s="133">
        <v>19</v>
      </c>
      <c r="I282" s="133">
        <v>88.7</v>
      </c>
      <c r="J282" s="133">
        <v>3.39</v>
      </c>
      <c r="K282" s="133">
        <v>0</v>
      </c>
      <c r="L282" s="133">
        <v>4</v>
      </c>
      <c r="M282" s="133">
        <v>738548.42</v>
      </c>
      <c r="N282" s="133">
        <v>134282.77</v>
      </c>
    </row>
    <row r="283" s="133" customFormat="1" spans="1:14">
      <c r="A283" s="133" t="s">
        <v>93</v>
      </c>
      <c r="B283" s="191">
        <v>45717</v>
      </c>
      <c r="C283" s="133" t="s">
        <v>26</v>
      </c>
      <c r="D283" s="133" t="s">
        <v>18</v>
      </c>
      <c r="E283" s="133">
        <v>48609.41</v>
      </c>
      <c r="F283" s="133">
        <v>9324</v>
      </c>
      <c r="G283" s="133">
        <v>0.213</v>
      </c>
      <c r="H283" s="133">
        <v>18</v>
      </c>
      <c r="I283" s="133">
        <v>86.5</v>
      </c>
      <c r="J283" s="133">
        <v>1.44</v>
      </c>
      <c r="K283" s="133">
        <v>0</v>
      </c>
      <c r="L283" s="133">
        <v>3.9</v>
      </c>
      <c r="M283" s="133">
        <v>756619.77</v>
      </c>
      <c r="N283" s="133">
        <v>112057.69</v>
      </c>
    </row>
    <row r="284" s="133" customFormat="1" spans="1:14">
      <c r="A284" s="133" t="s">
        <v>93</v>
      </c>
      <c r="B284" s="191">
        <v>45748</v>
      </c>
      <c r="C284" s="133" t="s">
        <v>26</v>
      </c>
      <c r="D284" s="133" t="s">
        <v>18</v>
      </c>
      <c r="E284" s="133">
        <v>70284.06</v>
      </c>
      <c r="F284" s="133">
        <v>9109</v>
      </c>
      <c r="G284" s="133">
        <v>0.004</v>
      </c>
      <c r="H284" s="133">
        <v>23</v>
      </c>
      <c r="I284" s="133">
        <v>87</v>
      </c>
      <c r="J284" s="133">
        <v>3.65</v>
      </c>
      <c r="K284" s="133">
        <v>0</v>
      </c>
      <c r="L284" s="133">
        <v>3.7</v>
      </c>
      <c r="M284" s="133">
        <v>761122.42</v>
      </c>
      <c r="N284" s="133">
        <v>149802.04</v>
      </c>
    </row>
    <row r="285" s="133" customFormat="1" spans="1:14">
      <c r="A285" s="133" t="s">
        <v>94</v>
      </c>
      <c r="B285" s="191">
        <v>45658</v>
      </c>
      <c r="C285" s="133" t="s">
        <v>26</v>
      </c>
      <c r="D285" s="133" t="s">
        <v>20</v>
      </c>
      <c r="E285" s="133">
        <v>45940.39</v>
      </c>
      <c r="F285" s="133">
        <v>4022</v>
      </c>
      <c r="G285" s="133">
        <v>0.069</v>
      </c>
      <c r="H285" s="133">
        <v>10</v>
      </c>
      <c r="I285" s="133">
        <v>83</v>
      </c>
      <c r="J285" s="133">
        <v>1.23</v>
      </c>
      <c r="K285" s="133">
        <v>1</v>
      </c>
      <c r="L285" s="133">
        <v>3.8</v>
      </c>
      <c r="M285" s="133">
        <v>524899.57</v>
      </c>
      <c r="N285" s="133">
        <v>63619.98</v>
      </c>
    </row>
    <row r="286" s="133" customFormat="1" spans="1:14">
      <c r="A286" s="133" t="s">
        <v>94</v>
      </c>
      <c r="B286" s="191">
        <v>45689</v>
      </c>
      <c r="C286" s="133" t="s">
        <v>26</v>
      </c>
      <c r="D286" s="133" t="s">
        <v>20</v>
      </c>
      <c r="E286" s="133">
        <v>34771.26</v>
      </c>
      <c r="F286" s="133">
        <v>4355</v>
      </c>
      <c r="G286" s="133">
        <v>0.051</v>
      </c>
      <c r="H286" s="133">
        <v>15</v>
      </c>
      <c r="I286" s="133">
        <v>87.9</v>
      </c>
      <c r="J286" s="133">
        <v>3.09</v>
      </c>
      <c r="K286" s="133">
        <v>0</v>
      </c>
      <c r="L286" s="133">
        <v>4</v>
      </c>
      <c r="M286" s="133">
        <v>555557.77</v>
      </c>
      <c r="N286" s="133">
        <v>86475.51</v>
      </c>
    </row>
    <row r="287" s="133" customFormat="1" spans="1:14">
      <c r="A287" s="133" t="s">
        <v>94</v>
      </c>
      <c r="B287" s="191">
        <v>45717</v>
      </c>
      <c r="C287" s="133" t="s">
        <v>26</v>
      </c>
      <c r="D287" s="133" t="s">
        <v>20</v>
      </c>
      <c r="E287" s="133">
        <v>66104.19</v>
      </c>
      <c r="F287" s="133">
        <v>5745</v>
      </c>
      <c r="G287" s="133">
        <v>0.07</v>
      </c>
      <c r="H287" s="133">
        <v>17</v>
      </c>
      <c r="I287" s="133">
        <v>95.8</v>
      </c>
      <c r="J287" s="133">
        <v>3.15</v>
      </c>
      <c r="K287" s="133">
        <v>0</v>
      </c>
      <c r="L287" s="133">
        <v>4</v>
      </c>
      <c r="M287" s="133">
        <v>714083.68</v>
      </c>
      <c r="N287" s="133">
        <v>127231.74</v>
      </c>
    </row>
    <row r="288" s="133" customFormat="1" spans="1:14">
      <c r="A288" s="133" t="s">
        <v>94</v>
      </c>
      <c r="B288" s="191">
        <v>45748</v>
      </c>
      <c r="C288" s="133" t="s">
        <v>26</v>
      </c>
      <c r="D288" s="133" t="s">
        <v>20</v>
      </c>
      <c r="E288" s="133">
        <v>18599.21</v>
      </c>
      <c r="F288" s="133">
        <v>3027</v>
      </c>
      <c r="G288" s="133">
        <v>0.122</v>
      </c>
      <c r="H288" s="133">
        <v>11</v>
      </c>
      <c r="I288" s="133">
        <v>80.9</v>
      </c>
      <c r="J288" s="133">
        <v>6.44</v>
      </c>
      <c r="K288" s="133">
        <v>0</v>
      </c>
      <c r="L288" s="133">
        <v>4.2</v>
      </c>
      <c r="M288" s="133">
        <v>497439.82</v>
      </c>
      <c r="N288" s="133">
        <v>93372.75</v>
      </c>
    </row>
    <row r="289" s="133" customFormat="1" spans="1:14">
      <c r="A289" s="133" t="s">
        <v>95</v>
      </c>
      <c r="B289" s="191">
        <v>45658</v>
      </c>
      <c r="C289" s="133" t="s">
        <v>29</v>
      </c>
      <c r="D289" s="133" t="s">
        <v>18</v>
      </c>
      <c r="E289" s="133">
        <v>60183.06</v>
      </c>
      <c r="F289" s="133">
        <v>5562</v>
      </c>
      <c r="G289" s="133">
        <v>0.009</v>
      </c>
      <c r="H289" s="133">
        <v>13</v>
      </c>
      <c r="I289" s="133">
        <v>86.3</v>
      </c>
      <c r="J289" s="133">
        <v>0.2</v>
      </c>
      <c r="K289" s="133">
        <v>1</v>
      </c>
      <c r="L289" s="133">
        <v>4.5</v>
      </c>
      <c r="M289" s="133">
        <v>636775.66</v>
      </c>
      <c r="N289" s="133">
        <v>122636.86</v>
      </c>
    </row>
    <row r="290" s="133" customFormat="1" spans="1:14">
      <c r="A290" s="133" t="s">
        <v>95</v>
      </c>
      <c r="B290" s="191">
        <v>45689</v>
      </c>
      <c r="C290" s="133" t="s">
        <v>29</v>
      </c>
      <c r="D290" s="133" t="s">
        <v>18</v>
      </c>
      <c r="E290" s="133">
        <v>74539.14</v>
      </c>
      <c r="F290" s="133">
        <v>4487</v>
      </c>
      <c r="G290" s="133">
        <v>0.14</v>
      </c>
      <c r="H290" s="133">
        <v>10</v>
      </c>
      <c r="I290" s="133">
        <v>90.4</v>
      </c>
      <c r="J290" s="133">
        <v>0.59</v>
      </c>
      <c r="K290" s="133">
        <v>0</v>
      </c>
      <c r="L290" s="133">
        <v>4.5</v>
      </c>
      <c r="M290" s="133">
        <v>633009.53</v>
      </c>
      <c r="N290" s="133">
        <v>123782.67</v>
      </c>
    </row>
    <row r="291" s="133" customFormat="1" spans="1:14">
      <c r="A291" s="133" t="s">
        <v>95</v>
      </c>
      <c r="B291" s="191">
        <v>45717</v>
      </c>
      <c r="C291" s="133" t="s">
        <v>29</v>
      </c>
      <c r="D291" s="133" t="s">
        <v>18</v>
      </c>
      <c r="E291" s="133">
        <v>55371.97</v>
      </c>
      <c r="F291" s="133">
        <v>4162</v>
      </c>
      <c r="G291" s="133">
        <v>0.183</v>
      </c>
      <c r="H291" s="133">
        <v>11</v>
      </c>
      <c r="I291" s="133">
        <v>92</v>
      </c>
      <c r="J291" s="133">
        <v>0.2</v>
      </c>
      <c r="K291" s="133">
        <v>1</v>
      </c>
      <c r="L291" s="133">
        <v>4.2</v>
      </c>
      <c r="M291" s="133">
        <v>609949</v>
      </c>
      <c r="N291" s="133">
        <v>126789.25</v>
      </c>
    </row>
    <row r="292" s="133" customFormat="1" spans="1:14">
      <c r="A292" s="133" t="s">
        <v>95</v>
      </c>
      <c r="B292" s="191">
        <v>45748</v>
      </c>
      <c r="C292" s="133" t="s">
        <v>29</v>
      </c>
      <c r="D292" s="133" t="s">
        <v>18</v>
      </c>
      <c r="E292" s="133">
        <v>40928.69</v>
      </c>
      <c r="F292" s="133">
        <v>4094</v>
      </c>
      <c r="G292" s="133">
        <v>0.174</v>
      </c>
      <c r="H292" s="133">
        <v>13</v>
      </c>
      <c r="I292" s="133">
        <v>82.4</v>
      </c>
      <c r="J292" s="133">
        <v>1.36</v>
      </c>
      <c r="K292" s="133">
        <v>0</v>
      </c>
      <c r="L292" s="133">
        <v>4.8</v>
      </c>
      <c r="M292" s="133">
        <v>548103.7</v>
      </c>
      <c r="N292" s="133">
        <v>99905.52</v>
      </c>
    </row>
    <row r="293" s="133" customFormat="1" spans="1:14">
      <c r="A293" s="133" t="s">
        <v>96</v>
      </c>
      <c r="B293" s="191">
        <v>45658</v>
      </c>
      <c r="C293" s="133" t="s">
        <v>17</v>
      </c>
      <c r="D293" s="133" t="s">
        <v>18</v>
      </c>
      <c r="E293" s="133">
        <v>70012.41</v>
      </c>
      <c r="F293" s="133">
        <v>8484</v>
      </c>
      <c r="G293" s="133">
        <v>0.273</v>
      </c>
      <c r="H293" s="133">
        <v>23</v>
      </c>
      <c r="I293" s="133">
        <v>72.9</v>
      </c>
      <c r="J293" s="133">
        <v>3.34</v>
      </c>
      <c r="K293" s="133">
        <v>0</v>
      </c>
      <c r="L293" s="133">
        <v>3.7</v>
      </c>
      <c r="M293" s="133">
        <v>729424.42</v>
      </c>
      <c r="N293" s="133">
        <v>75592.28</v>
      </c>
    </row>
    <row r="294" s="133" customFormat="1" spans="1:14">
      <c r="A294" s="133" t="s">
        <v>96</v>
      </c>
      <c r="B294" s="191">
        <v>45689</v>
      </c>
      <c r="C294" s="133" t="s">
        <v>17</v>
      </c>
      <c r="D294" s="133" t="s">
        <v>18</v>
      </c>
      <c r="E294" s="133">
        <v>68909.26</v>
      </c>
      <c r="F294" s="133">
        <v>7794</v>
      </c>
      <c r="G294" s="133">
        <v>0.284</v>
      </c>
      <c r="H294" s="133">
        <v>22</v>
      </c>
      <c r="I294" s="133">
        <v>89</v>
      </c>
      <c r="J294" s="133">
        <v>0.33</v>
      </c>
      <c r="K294" s="133">
        <v>0</v>
      </c>
      <c r="L294" s="133">
        <v>4</v>
      </c>
      <c r="M294" s="133">
        <v>696261.49</v>
      </c>
      <c r="N294" s="133">
        <v>72455.35</v>
      </c>
    </row>
    <row r="295" s="133" customFormat="1" spans="1:14">
      <c r="A295" s="133" t="s">
        <v>96</v>
      </c>
      <c r="B295" s="191">
        <v>45717</v>
      </c>
      <c r="C295" s="133" t="s">
        <v>17</v>
      </c>
      <c r="D295" s="133" t="s">
        <v>18</v>
      </c>
      <c r="E295" s="133">
        <v>56737.3</v>
      </c>
      <c r="F295" s="133">
        <v>8300</v>
      </c>
      <c r="G295" s="133">
        <v>0.032</v>
      </c>
      <c r="H295" s="133">
        <v>21</v>
      </c>
      <c r="I295" s="133">
        <v>83.2</v>
      </c>
      <c r="J295" s="133">
        <v>3.44</v>
      </c>
      <c r="K295" s="133">
        <v>1</v>
      </c>
      <c r="L295" s="133">
        <v>4.3</v>
      </c>
      <c r="M295" s="133">
        <v>813316.71</v>
      </c>
      <c r="N295" s="133">
        <v>110077.42</v>
      </c>
    </row>
    <row r="296" s="133" customFormat="1" spans="1:14">
      <c r="A296" s="133" t="s">
        <v>96</v>
      </c>
      <c r="B296" s="191">
        <v>45748</v>
      </c>
      <c r="C296" s="133" t="s">
        <v>17</v>
      </c>
      <c r="D296" s="133" t="s">
        <v>18</v>
      </c>
      <c r="E296" s="133">
        <v>54080.91</v>
      </c>
      <c r="F296" s="133">
        <v>7083</v>
      </c>
      <c r="G296" s="133">
        <v>0</v>
      </c>
      <c r="H296" s="133">
        <v>15</v>
      </c>
      <c r="I296" s="133">
        <v>97</v>
      </c>
      <c r="J296" s="133">
        <v>5.33</v>
      </c>
      <c r="K296" s="133">
        <v>0</v>
      </c>
      <c r="L296" s="133">
        <v>4.1</v>
      </c>
      <c r="M296" s="133">
        <v>702068.92</v>
      </c>
      <c r="N296" s="133">
        <v>111266.63</v>
      </c>
    </row>
    <row r="297" s="133" customFormat="1" spans="1:14">
      <c r="A297" s="133" t="s">
        <v>97</v>
      </c>
      <c r="B297" s="191">
        <v>45658</v>
      </c>
      <c r="C297" s="133" t="s">
        <v>29</v>
      </c>
      <c r="D297" s="133" t="s">
        <v>20</v>
      </c>
      <c r="E297" s="133">
        <v>51996.32</v>
      </c>
      <c r="F297" s="133">
        <v>3834</v>
      </c>
      <c r="G297" s="133">
        <v>0.096</v>
      </c>
      <c r="H297" s="133">
        <v>8</v>
      </c>
      <c r="I297" s="133">
        <v>86.7</v>
      </c>
      <c r="J297" s="133">
        <v>6.04</v>
      </c>
      <c r="K297" s="133">
        <v>0</v>
      </c>
      <c r="L297" s="133">
        <v>4.5</v>
      </c>
      <c r="M297" s="133">
        <v>546223.7</v>
      </c>
      <c r="N297" s="133">
        <v>100769.17</v>
      </c>
    </row>
    <row r="298" s="133" customFormat="1" spans="1:14">
      <c r="A298" s="133" t="s">
        <v>97</v>
      </c>
      <c r="B298" s="191">
        <v>45689</v>
      </c>
      <c r="C298" s="133" t="s">
        <v>29</v>
      </c>
      <c r="D298" s="133" t="s">
        <v>20</v>
      </c>
      <c r="E298" s="133">
        <v>40102.88</v>
      </c>
      <c r="F298" s="133">
        <v>2358</v>
      </c>
      <c r="G298" s="133">
        <v>0.119</v>
      </c>
      <c r="H298" s="133">
        <v>9</v>
      </c>
      <c r="I298" s="133">
        <v>88.7</v>
      </c>
      <c r="J298" s="133">
        <v>1.6</v>
      </c>
      <c r="K298" s="133">
        <v>0</v>
      </c>
      <c r="L298" s="133">
        <v>4.2</v>
      </c>
      <c r="M298" s="133">
        <v>533121.26</v>
      </c>
      <c r="N298" s="133">
        <v>55063.39</v>
      </c>
    </row>
    <row r="299" s="133" customFormat="1" spans="1:14">
      <c r="A299" s="133" t="s">
        <v>97</v>
      </c>
      <c r="B299" s="191">
        <v>45717</v>
      </c>
      <c r="C299" s="133" t="s">
        <v>29</v>
      </c>
      <c r="D299" s="133" t="s">
        <v>20</v>
      </c>
      <c r="E299" s="133">
        <v>59825.51</v>
      </c>
      <c r="F299" s="133">
        <v>1231</v>
      </c>
      <c r="G299" s="133">
        <v>0.214</v>
      </c>
      <c r="H299" s="133">
        <v>10</v>
      </c>
      <c r="I299" s="133">
        <v>84.8</v>
      </c>
      <c r="J299" s="133">
        <v>8.96</v>
      </c>
      <c r="K299" s="133">
        <v>0</v>
      </c>
      <c r="L299" s="133">
        <v>4.7</v>
      </c>
      <c r="M299" s="133">
        <v>498970.32</v>
      </c>
      <c r="N299" s="133">
        <v>69656.7</v>
      </c>
    </row>
    <row r="300" s="133" customFormat="1" spans="1:14">
      <c r="A300" s="133" t="s">
        <v>97</v>
      </c>
      <c r="B300" s="191">
        <v>45748</v>
      </c>
      <c r="C300" s="133" t="s">
        <v>29</v>
      </c>
      <c r="D300" s="133" t="s">
        <v>20</v>
      </c>
      <c r="E300" s="133">
        <v>27398.28</v>
      </c>
      <c r="F300" s="133">
        <v>1723</v>
      </c>
      <c r="G300" s="133">
        <v>0.171</v>
      </c>
      <c r="H300" s="133">
        <v>9</v>
      </c>
      <c r="I300" s="133">
        <v>81</v>
      </c>
      <c r="J300" s="133">
        <v>0.74</v>
      </c>
      <c r="K300" s="133">
        <v>0</v>
      </c>
      <c r="L300" s="133">
        <v>4.6</v>
      </c>
      <c r="M300" s="133">
        <v>487738.26</v>
      </c>
      <c r="N300" s="133">
        <v>96435.6</v>
      </c>
    </row>
    <row r="301" s="133" customFormat="1" spans="1:14">
      <c r="A301" s="133" t="s">
        <v>98</v>
      </c>
      <c r="B301" s="191">
        <v>45658</v>
      </c>
      <c r="C301" s="133" t="s">
        <v>29</v>
      </c>
      <c r="D301" s="133" t="s">
        <v>20</v>
      </c>
      <c r="E301" s="133">
        <v>55599.56</v>
      </c>
      <c r="F301" s="133">
        <v>5896</v>
      </c>
      <c r="G301" s="133">
        <v>0.036</v>
      </c>
      <c r="H301" s="133">
        <v>12</v>
      </c>
      <c r="I301" s="133">
        <v>93.1</v>
      </c>
      <c r="J301" s="133">
        <v>6.13</v>
      </c>
      <c r="K301" s="133">
        <v>0</v>
      </c>
      <c r="L301" s="133">
        <v>3.3</v>
      </c>
      <c r="M301" s="133">
        <v>668459.37</v>
      </c>
      <c r="N301" s="133">
        <v>126435.42</v>
      </c>
    </row>
    <row r="302" s="133" customFormat="1" spans="1:14">
      <c r="A302" s="133" t="s">
        <v>98</v>
      </c>
      <c r="B302" s="191">
        <v>45689</v>
      </c>
      <c r="C302" s="133" t="s">
        <v>29</v>
      </c>
      <c r="D302" s="133" t="s">
        <v>20</v>
      </c>
      <c r="E302" s="133">
        <v>55477.61</v>
      </c>
      <c r="F302" s="133">
        <v>5903</v>
      </c>
      <c r="G302" s="133">
        <v>0.102</v>
      </c>
      <c r="H302" s="133">
        <v>14</v>
      </c>
      <c r="I302" s="133">
        <v>96.2</v>
      </c>
      <c r="J302" s="133">
        <v>1.41</v>
      </c>
      <c r="K302" s="133">
        <v>0</v>
      </c>
      <c r="L302" s="133">
        <v>3.3</v>
      </c>
      <c r="M302" s="133">
        <v>763162.45</v>
      </c>
      <c r="N302" s="133">
        <v>162524.05</v>
      </c>
    </row>
    <row r="303" s="133" customFormat="1" spans="1:14">
      <c r="A303" s="133" t="s">
        <v>98</v>
      </c>
      <c r="B303" s="191">
        <v>45717</v>
      </c>
      <c r="C303" s="133" t="s">
        <v>29</v>
      </c>
      <c r="D303" s="133" t="s">
        <v>20</v>
      </c>
      <c r="E303" s="133">
        <v>46174.7</v>
      </c>
      <c r="F303" s="133">
        <v>4898</v>
      </c>
      <c r="G303" s="133">
        <v>0.114</v>
      </c>
      <c r="H303" s="133">
        <v>11</v>
      </c>
      <c r="I303" s="133">
        <v>91.7</v>
      </c>
      <c r="J303" s="133">
        <v>3.75</v>
      </c>
      <c r="K303" s="133">
        <v>0</v>
      </c>
      <c r="L303" s="133">
        <v>3.1</v>
      </c>
      <c r="M303" s="133">
        <v>599017.33</v>
      </c>
      <c r="N303" s="133">
        <v>134009.92</v>
      </c>
    </row>
    <row r="304" s="133" customFormat="1" spans="1:14">
      <c r="A304" s="133" t="s">
        <v>98</v>
      </c>
      <c r="B304" s="191">
        <v>45748</v>
      </c>
      <c r="C304" s="133" t="s">
        <v>29</v>
      </c>
      <c r="D304" s="133" t="s">
        <v>20</v>
      </c>
      <c r="E304" s="133">
        <v>24362.98</v>
      </c>
      <c r="F304" s="133">
        <v>1462</v>
      </c>
      <c r="G304" s="133">
        <v>0.117</v>
      </c>
      <c r="H304" s="133">
        <v>6</v>
      </c>
      <c r="I304" s="133">
        <v>89.3</v>
      </c>
      <c r="J304" s="133">
        <v>15.06</v>
      </c>
      <c r="K304" s="133">
        <v>0</v>
      </c>
      <c r="L304" s="133">
        <v>3.2</v>
      </c>
      <c r="M304" s="133">
        <v>401582.58</v>
      </c>
      <c r="N304" s="133">
        <v>68454.93</v>
      </c>
    </row>
    <row r="305" s="133" customFormat="1" spans="1:14">
      <c r="A305" s="133" t="s">
        <v>99</v>
      </c>
      <c r="B305" s="191">
        <v>45658</v>
      </c>
      <c r="C305" s="133" t="s">
        <v>22</v>
      </c>
      <c r="D305" s="133" t="s">
        <v>30</v>
      </c>
      <c r="E305" s="133">
        <v>40647.67</v>
      </c>
      <c r="F305" s="133">
        <v>8252</v>
      </c>
      <c r="G305" s="133">
        <v>0.141</v>
      </c>
      <c r="H305" s="133">
        <v>22</v>
      </c>
      <c r="I305" s="133">
        <v>88.2</v>
      </c>
      <c r="J305" s="133">
        <v>5.07</v>
      </c>
      <c r="K305" s="133">
        <v>1</v>
      </c>
      <c r="L305" s="133">
        <v>4.1</v>
      </c>
      <c r="M305" s="133">
        <v>703812.99</v>
      </c>
      <c r="N305" s="133">
        <v>133577.98</v>
      </c>
    </row>
    <row r="306" s="133" customFormat="1" spans="1:14">
      <c r="A306" s="133" t="s">
        <v>99</v>
      </c>
      <c r="B306" s="191">
        <v>45689</v>
      </c>
      <c r="C306" s="133" t="s">
        <v>22</v>
      </c>
      <c r="D306" s="133" t="s">
        <v>30</v>
      </c>
      <c r="E306" s="133">
        <v>63986.98</v>
      </c>
      <c r="F306" s="133">
        <v>7989</v>
      </c>
      <c r="G306" s="133">
        <v>0.074</v>
      </c>
      <c r="H306" s="133">
        <v>20</v>
      </c>
      <c r="I306" s="133">
        <v>83.3</v>
      </c>
      <c r="J306" s="133">
        <v>3.6</v>
      </c>
      <c r="K306" s="133">
        <v>0</v>
      </c>
      <c r="L306" s="133">
        <v>3.7</v>
      </c>
      <c r="M306" s="133">
        <v>724346.73</v>
      </c>
      <c r="N306" s="133">
        <v>155013.91</v>
      </c>
    </row>
    <row r="307" s="133" customFormat="1" spans="1:14">
      <c r="A307" s="133" t="s">
        <v>99</v>
      </c>
      <c r="B307" s="191">
        <v>45717</v>
      </c>
      <c r="C307" s="133" t="s">
        <v>22</v>
      </c>
      <c r="D307" s="133" t="s">
        <v>30</v>
      </c>
      <c r="E307" s="133">
        <v>52843.75</v>
      </c>
      <c r="F307" s="133">
        <v>8268</v>
      </c>
      <c r="G307" s="133">
        <v>0.138</v>
      </c>
      <c r="H307" s="133">
        <v>19</v>
      </c>
      <c r="I307" s="133">
        <v>87.3</v>
      </c>
      <c r="J307" s="133">
        <v>4.39</v>
      </c>
      <c r="K307" s="133">
        <v>1</v>
      </c>
      <c r="L307" s="133">
        <v>4.7</v>
      </c>
      <c r="M307" s="133">
        <v>730890.01</v>
      </c>
      <c r="N307" s="133">
        <v>105502.56</v>
      </c>
    </row>
    <row r="308" s="133" customFormat="1" spans="1:14">
      <c r="A308" s="133" t="s">
        <v>99</v>
      </c>
      <c r="B308" s="191">
        <v>45748</v>
      </c>
      <c r="C308" s="133" t="s">
        <v>22</v>
      </c>
      <c r="D308" s="133" t="s">
        <v>30</v>
      </c>
      <c r="E308" s="133">
        <v>31997.25</v>
      </c>
      <c r="F308" s="133">
        <v>8183</v>
      </c>
      <c r="G308" s="133">
        <v>0.198</v>
      </c>
      <c r="H308" s="133">
        <v>18</v>
      </c>
      <c r="I308" s="133">
        <v>93</v>
      </c>
      <c r="J308" s="133">
        <v>2.79</v>
      </c>
      <c r="K308" s="133">
        <v>0</v>
      </c>
      <c r="L308" s="133">
        <v>4.2</v>
      </c>
      <c r="M308" s="133">
        <v>780580.95</v>
      </c>
      <c r="N308" s="133">
        <v>138144.46</v>
      </c>
    </row>
    <row r="309" s="133" customFormat="1" spans="1:14">
      <c r="A309" s="133" t="s">
        <v>100</v>
      </c>
      <c r="B309" s="191">
        <v>45658</v>
      </c>
      <c r="C309" s="133" t="s">
        <v>26</v>
      </c>
      <c r="D309" s="133" t="s">
        <v>18</v>
      </c>
      <c r="E309" s="133">
        <v>54948.02</v>
      </c>
      <c r="F309" s="133">
        <v>6534</v>
      </c>
      <c r="G309" s="133">
        <v>0.183</v>
      </c>
      <c r="H309" s="133">
        <v>14</v>
      </c>
      <c r="I309" s="133">
        <v>94.5</v>
      </c>
      <c r="J309" s="133">
        <v>1.56</v>
      </c>
      <c r="K309" s="133">
        <v>0</v>
      </c>
      <c r="L309" s="133">
        <v>4</v>
      </c>
      <c r="M309" s="133">
        <v>727957.48</v>
      </c>
      <c r="N309" s="133">
        <v>74805.23</v>
      </c>
    </row>
    <row r="310" s="133" customFormat="1" spans="1:14">
      <c r="A310" s="133" t="s">
        <v>100</v>
      </c>
      <c r="B310" s="191">
        <v>45689</v>
      </c>
      <c r="C310" s="133" t="s">
        <v>26</v>
      </c>
      <c r="D310" s="133" t="s">
        <v>18</v>
      </c>
      <c r="E310" s="133">
        <v>46146.24</v>
      </c>
      <c r="F310" s="133">
        <v>5804</v>
      </c>
      <c r="G310" s="133">
        <v>0.047</v>
      </c>
      <c r="H310" s="133">
        <v>16</v>
      </c>
      <c r="I310" s="133">
        <v>86.9</v>
      </c>
      <c r="J310" s="133">
        <v>15.82</v>
      </c>
      <c r="K310" s="133">
        <v>0</v>
      </c>
      <c r="L310" s="133">
        <v>3.8</v>
      </c>
      <c r="M310" s="133">
        <v>538376</v>
      </c>
      <c r="N310" s="133">
        <v>87605.62</v>
      </c>
    </row>
    <row r="311" s="133" customFormat="1" spans="1:14">
      <c r="A311" s="133" t="s">
        <v>100</v>
      </c>
      <c r="B311" s="191">
        <v>45717</v>
      </c>
      <c r="C311" s="133" t="s">
        <v>26</v>
      </c>
      <c r="D311" s="133" t="s">
        <v>18</v>
      </c>
      <c r="E311" s="133">
        <v>22387.26</v>
      </c>
      <c r="F311" s="133">
        <v>6301</v>
      </c>
      <c r="G311" s="133">
        <v>0.146</v>
      </c>
      <c r="H311" s="133">
        <v>14</v>
      </c>
      <c r="I311" s="133">
        <v>85.9</v>
      </c>
      <c r="J311" s="133">
        <v>1.17</v>
      </c>
      <c r="K311" s="133">
        <v>1</v>
      </c>
      <c r="L311" s="133">
        <v>3.7</v>
      </c>
      <c r="M311" s="133">
        <v>665342.49</v>
      </c>
      <c r="N311" s="133">
        <v>93441.81</v>
      </c>
    </row>
    <row r="312" s="133" customFormat="1" spans="1:14">
      <c r="A312" s="133" t="s">
        <v>100</v>
      </c>
      <c r="B312" s="191">
        <v>45748</v>
      </c>
      <c r="C312" s="133" t="s">
        <v>26</v>
      </c>
      <c r="D312" s="133" t="s">
        <v>18</v>
      </c>
      <c r="E312" s="133">
        <v>60684.05</v>
      </c>
      <c r="F312" s="133">
        <v>6399</v>
      </c>
      <c r="G312" s="133">
        <v>0.075</v>
      </c>
      <c r="H312" s="133">
        <v>16</v>
      </c>
      <c r="I312" s="133">
        <v>99</v>
      </c>
      <c r="J312" s="133">
        <v>3.82</v>
      </c>
      <c r="K312" s="133">
        <v>0</v>
      </c>
      <c r="L312" s="133">
        <v>3.5</v>
      </c>
      <c r="M312" s="133">
        <v>651164.18</v>
      </c>
      <c r="N312" s="133">
        <v>109466.5</v>
      </c>
    </row>
    <row r="313" s="133" customFormat="1" spans="1:14">
      <c r="A313" s="133" t="s">
        <v>101</v>
      </c>
      <c r="B313" s="191">
        <v>45658</v>
      </c>
      <c r="C313" s="133" t="s">
        <v>26</v>
      </c>
      <c r="D313" s="133" t="s">
        <v>20</v>
      </c>
      <c r="E313" s="133">
        <v>48465.6</v>
      </c>
      <c r="F313" s="133">
        <v>5759</v>
      </c>
      <c r="G313" s="133">
        <v>0.154</v>
      </c>
      <c r="H313" s="133">
        <v>13</v>
      </c>
      <c r="I313" s="133">
        <v>87.5</v>
      </c>
      <c r="J313" s="133">
        <v>4.14</v>
      </c>
      <c r="K313" s="133">
        <v>0</v>
      </c>
      <c r="L313" s="133">
        <v>4</v>
      </c>
      <c r="M313" s="133">
        <v>628538.3</v>
      </c>
      <c r="N313" s="133">
        <v>112509.15</v>
      </c>
    </row>
    <row r="314" s="133" customFormat="1" spans="1:14">
      <c r="A314" s="133" t="s">
        <v>101</v>
      </c>
      <c r="B314" s="191">
        <v>45689</v>
      </c>
      <c r="C314" s="133" t="s">
        <v>26</v>
      </c>
      <c r="D314" s="133" t="s">
        <v>20</v>
      </c>
      <c r="E314" s="133">
        <v>23702.38</v>
      </c>
      <c r="F314" s="133">
        <v>5285</v>
      </c>
      <c r="G314" s="133">
        <v>0.167</v>
      </c>
      <c r="H314" s="133">
        <v>14</v>
      </c>
      <c r="I314" s="133">
        <v>79.7</v>
      </c>
      <c r="J314" s="133">
        <v>1.1</v>
      </c>
      <c r="K314" s="133">
        <v>0</v>
      </c>
      <c r="L314" s="133">
        <v>4.3</v>
      </c>
      <c r="M314" s="133">
        <v>536524.84</v>
      </c>
      <c r="N314" s="133">
        <v>92752.94</v>
      </c>
    </row>
    <row r="315" s="133" customFormat="1" spans="1:14">
      <c r="A315" s="133" t="s">
        <v>101</v>
      </c>
      <c r="B315" s="191">
        <v>45717</v>
      </c>
      <c r="C315" s="133" t="s">
        <v>26</v>
      </c>
      <c r="D315" s="133" t="s">
        <v>20</v>
      </c>
      <c r="E315" s="133">
        <v>54322.94</v>
      </c>
      <c r="F315" s="133">
        <v>5434</v>
      </c>
      <c r="G315" s="133">
        <v>0.2</v>
      </c>
      <c r="H315" s="133">
        <v>13</v>
      </c>
      <c r="I315" s="133">
        <v>85.7</v>
      </c>
      <c r="J315" s="133">
        <v>10.6</v>
      </c>
      <c r="K315" s="133">
        <v>0</v>
      </c>
      <c r="L315" s="133">
        <v>4.2</v>
      </c>
      <c r="M315" s="133">
        <v>621677.3</v>
      </c>
      <c r="N315" s="133">
        <v>105192.52</v>
      </c>
    </row>
    <row r="316" s="133" customFormat="1" spans="1:14">
      <c r="A316" s="133" t="s">
        <v>101</v>
      </c>
      <c r="B316" s="191">
        <v>45748</v>
      </c>
      <c r="C316" s="133" t="s">
        <v>26</v>
      </c>
      <c r="D316" s="133" t="s">
        <v>20</v>
      </c>
      <c r="E316" s="133">
        <v>86026.58</v>
      </c>
      <c r="F316" s="133">
        <v>7479</v>
      </c>
      <c r="G316" s="133">
        <v>0.142</v>
      </c>
      <c r="H316" s="133">
        <v>20</v>
      </c>
      <c r="I316" s="133">
        <v>89</v>
      </c>
      <c r="J316" s="133">
        <v>0.9</v>
      </c>
      <c r="K316" s="133">
        <v>0</v>
      </c>
      <c r="M316" s="133">
        <v>771129.07</v>
      </c>
      <c r="N316" s="133">
        <v>116851.13</v>
      </c>
    </row>
    <row r="317" s="133" customFormat="1" spans="1:14">
      <c r="A317" s="133" t="s">
        <v>102</v>
      </c>
      <c r="B317" s="191">
        <v>45658</v>
      </c>
      <c r="C317" s="133" t="s">
        <v>22</v>
      </c>
      <c r="D317" s="133" t="s">
        <v>18</v>
      </c>
      <c r="E317" s="133">
        <v>78967.52</v>
      </c>
      <c r="F317" s="133">
        <v>6164</v>
      </c>
      <c r="G317" s="133">
        <v>0.021</v>
      </c>
      <c r="H317" s="133">
        <v>16</v>
      </c>
      <c r="I317" s="133">
        <v>85.5</v>
      </c>
      <c r="J317" s="133">
        <v>0.2</v>
      </c>
      <c r="K317" s="133">
        <v>0</v>
      </c>
      <c r="L317" s="133">
        <v>3.4</v>
      </c>
      <c r="M317" s="133">
        <v>702052.47</v>
      </c>
      <c r="N317" s="133">
        <v>121732.51</v>
      </c>
    </row>
    <row r="318" s="133" customFormat="1" spans="1:14">
      <c r="A318" s="133" t="s">
        <v>102</v>
      </c>
      <c r="B318" s="191">
        <v>45689</v>
      </c>
      <c r="C318" s="133" t="s">
        <v>22</v>
      </c>
      <c r="D318" s="133" t="s">
        <v>18</v>
      </c>
      <c r="E318" s="133">
        <v>46767.99</v>
      </c>
      <c r="F318" s="133">
        <v>7973</v>
      </c>
      <c r="G318" s="133">
        <v>0.183</v>
      </c>
      <c r="H318" s="133">
        <v>18</v>
      </c>
      <c r="I318" s="133">
        <v>94.8</v>
      </c>
      <c r="J318" s="133">
        <v>4.67</v>
      </c>
      <c r="K318" s="133">
        <v>0</v>
      </c>
      <c r="M318" s="133">
        <v>688368.46</v>
      </c>
      <c r="N318" s="133">
        <v>93588.42</v>
      </c>
    </row>
    <row r="319" s="133" customFormat="1" spans="1:14">
      <c r="A319" s="133" t="s">
        <v>102</v>
      </c>
      <c r="B319" s="191">
        <v>45717</v>
      </c>
      <c r="C319" s="133" t="s">
        <v>22</v>
      </c>
      <c r="D319" s="133" t="s">
        <v>18</v>
      </c>
      <c r="E319" s="133">
        <v>62507.16</v>
      </c>
      <c r="F319" s="133">
        <v>6000</v>
      </c>
      <c r="G319" s="133">
        <v>0.091</v>
      </c>
      <c r="H319" s="133">
        <v>14</v>
      </c>
      <c r="I319" s="133">
        <v>98.2</v>
      </c>
      <c r="J319" s="133">
        <v>4.38</v>
      </c>
      <c r="K319" s="133">
        <v>1</v>
      </c>
      <c r="L319" s="133">
        <v>3.9</v>
      </c>
      <c r="M319" s="133">
        <v>712375.77</v>
      </c>
      <c r="N319" s="133">
        <v>104171.53</v>
      </c>
    </row>
    <row r="320" s="133" customFormat="1" spans="1:14">
      <c r="A320" s="133" t="s">
        <v>102</v>
      </c>
      <c r="B320" s="191">
        <v>45748</v>
      </c>
      <c r="C320" s="133" t="s">
        <v>22</v>
      </c>
      <c r="D320" s="133" t="s">
        <v>18</v>
      </c>
      <c r="E320" s="133">
        <v>66456.28</v>
      </c>
      <c r="F320" s="133">
        <v>9967</v>
      </c>
      <c r="G320" s="133">
        <v>0.108</v>
      </c>
      <c r="H320" s="133">
        <v>20</v>
      </c>
      <c r="I320" s="133">
        <v>94.7</v>
      </c>
      <c r="J320" s="133">
        <v>4.48</v>
      </c>
      <c r="K320" s="133">
        <v>0</v>
      </c>
      <c r="L320" s="133">
        <v>4.2</v>
      </c>
      <c r="M320" s="133">
        <v>844710.67</v>
      </c>
      <c r="N320" s="133">
        <v>137140.18</v>
      </c>
    </row>
    <row r="321" s="133" customFormat="1" spans="1:14">
      <c r="A321" s="133" t="s">
        <v>103</v>
      </c>
      <c r="B321" s="191">
        <v>45658</v>
      </c>
      <c r="C321" s="133" t="s">
        <v>17</v>
      </c>
      <c r="D321" s="133" t="s">
        <v>18</v>
      </c>
      <c r="E321" s="133">
        <v>76614.32</v>
      </c>
      <c r="F321" s="133">
        <v>5639</v>
      </c>
      <c r="G321" s="133">
        <v>0.174</v>
      </c>
      <c r="H321" s="133">
        <v>15</v>
      </c>
      <c r="I321" s="133">
        <v>92.9</v>
      </c>
      <c r="J321" s="133">
        <v>1.02</v>
      </c>
      <c r="K321" s="133">
        <v>1</v>
      </c>
      <c r="L321" s="133">
        <v>4</v>
      </c>
      <c r="M321" s="133">
        <v>620264.2</v>
      </c>
      <c r="N321" s="133">
        <v>91365.64</v>
      </c>
    </row>
    <row r="322" s="133" customFormat="1" spans="1:14">
      <c r="A322" s="133" t="s">
        <v>103</v>
      </c>
      <c r="B322" s="191">
        <v>45689</v>
      </c>
      <c r="C322" s="133" t="s">
        <v>17</v>
      </c>
      <c r="D322" s="133" t="s">
        <v>18</v>
      </c>
      <c r="E322" s="133">
        <v>24088.06</v>
      </c>
      <c r="F322" s="133">
        <v>3466</v>
      </c>
      <c r="G322" s="133">
        <v>0</v>
      </c>
      <c r="H322" s="133">
        <v>11</v>
      </c>
      <c r="I322" s="133">
        <v>88</v>
      </c>
      <c r="J322" s="133">
        <v>0.2</v>
      </c>
      <c r="K322" s="133">
        <v>0</v>
      </c>
      <c r="L322" s="133">
        <v>3.8</v>
      </c>
      <c r="M322" s="133">
        <v>536845.42</v>
      </c>
      <c r="N322" s="133">
        <v>107473.75</v>
      </c>
    </row>
    <row r="323" s="133" customFormat="1" spans="1:14">
      <c r="A323" s="133" t="s">
        <v>103</v>
      </c>
      <c r="B323" s="191">
        <v>45717</v>
      </c>
      <c r="C323" s="133" t="s">
        <v>17</v>
      </c>
      <c r="D323" s="133" t="s">
        <v>18</v>
      </c>
      <c r="E323" s="133">
        <v>81902.58</v>
      </c>
      <c r="F323" s="133">
        <v>7775</v>
      </c>
      <c r="G323" s="133">
        <v>0.215</v>
      </c>
      <c r="H323" s="133">
        <v>20</v>
      </c>
      <c r="I323" s="133">
        <v>85.2</v>
      </c>
      <c r="J323" s="133">
        <v>4.89</v>
      </c>
      <c r="K323" s="133">
        <v>1</v>
      </c>
      <c r="L323" s="133">
        <v>4.2</v>
      </c>
      <c r="M323" s="133">
        <v>726776.22</v>
      </c>
      <c r="N323" s="133">
        <v>90804.49</v>
      </c>
    </row>
    <row r="324" s="133" customFormat="1" spans="1:14">
      <c r="A324" s="133" t="s">
        <v>103</v>
      </c>
      <c r="B324" s="191">
        <v>45748</v>
      </c>
      <c r="C324" s="133" t="s">
        <v>17</v>
      </c>
      <c r="D324" s="133" t="s">
        <v>18</v>
      </c>
      <c r="E324" s="133">
        <v>40553.11</v>
      </c>
      <c r="F324" s="133">
        <v>5317</v>
      </c>
      <c r="G324" s="133">
        <v>0.165</v>
      </c>
      <c r="H324" s="133">
        <v>17</v>
      </c>
      <c r="I324" s="133">
        <v>84.3</v>
      </c>
      <c r="J324" s="133">
        <v>11.82</v>
      </c>
      <c r="K324" s="133">
        <v>0</v>
      </c>
      <c r="L324" s="133">
        <v>4.1</v>
      </c>
      <c r="M324" s="133">
        <v>559660.84</v>
      </c>
      <c r="N324" s="133">
        <v>71443.61</v>
      </c>
    </row>
  </sheetData>
  <mergeCells count="2">
    <mergeCell ref="A1:N1"/>
    <mergeCell ref="A2:N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0"/>
  <sheetViews>
    <sheetView workbookViewId="0">
      <selection activeCell="E4" sqref="E4"/>
    </sheetView>
  </sheetViews>
  <sheetFormatPr defaultColWidth="9" defaultRowHeight="13.8"/>
  <cols>
    <col min="1" max="1" width="23.5" customWidth="1"/>
    <col min="2" max="4" width="15" customWidth="1"/>
    <col min="5" max="5" width="15.5" customWidth="1"/>
    <col min="6" max="6" width="15" customWidth="1"/>
    <col min="7" max="7" width="16" customWidth="1"/>
    <col min="8" max="8" width="15" customWidth="1"/>
    <col min="9" max="9" width="22.3333333333333" customWidth="1"/>
    <col min="10" max="10" width="21.8333333333333" customWidth="1"/>
    <col min="11" max="14" width="15" customWidth="1"/>
  </cols>
  <sheetData>
    <row r="1" customFormat="1" ht="18.65" customHeight="1" spans="1:14">
      <c r="A1" s="179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1"/>
    </row>
    <row r="2" customFormat="1" ht="14.55" spans="1:14">
      <c r="A2" s="182" t="s">
        <v>104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4"/>
    </row>
    <row r="4" customFormat="1" spans="1:14">
      <c r="A4" s="185" t="s">
        <v>105</v>
      </c>
      <c r="B4" s="185" t="s">
        <v>106</v>
      </c>
    </row>
    <row r="5" customFormat="1" spans="1:14">
      <c r="A5" s="174" t="s">
        <v>107</v>
      </c>
      <c r="B5" s="175" t="s">
        <v>108</v>
      </c>
    </row>
    <row r="6" customFormat="1" spans="1:14">
      <c r="A6" s="174" t="s">
        <v>109</v>
      </c>
      <c r="B6" s="175" t="s">
        <v>108</v>
      </c>
    </row>
    <row r="7" customFormat="1" spans="1:14">
      <c r="A7" s="174" t="s">
        <v>110</v>
      </c>
      <c r="B7" s="175" t="s">
        <v>111</v>
      </c>
    </row>
    <row r="8" customFormat="1" spans="1:14">
      <c r="A8" s="174" t="s">
        <v>112</v>
      </c>
      <c r="B8" s="175" t="s">
        <v>108</v>
      </c>
    </row>
    <row r="9" customFormat="1" spans="1:14">
      <c r="A9" s="174"/>
      <c r="B9" s="175"/>
    </row>
    <row r="10" customFormat="1" ht="27.6" spans="1:14">
      <c r="A10" s="186" t="s">
        <v>113</v>
      </c>
      <c r="B10" s="186" t="s">
        <v>114</v>
      </c>
      <c r="C10" s="187" t="s">
        <v>4</v>
      </c>
      <c r="D10" s="187" t="s">
        <v>5</v>
      </c>
      <c r="E10" s="187" t="s">
        <v>6</v>
      </c>
      <c r="F10" s="187" t="s">
        <v>7</v>
      </c>
      <c r="G10" s="187" t="s">
        <v>8</v>
      </c>
      <c r="H10" s="187" t="s">
        <v>9</v>
      </c>
      <c r="I10" s="187" t="s">
        <v>10</v>
      </c>
      <c r="J10" s="187" t="s">
        <v>11</v>
      </c>
      <c r="K10" s="187" t="s">
        <v>12</v>
      </c>
      <c r="L10" s="187" t="s">
        <v>13</v>
      </c>
      <c r="M10" s="187" t="s">
        <v>14</v>
      </c>
      <c r="N10" s="187" t="s">
        <v>15</v>
      </c>
    </row>
    <row r="11" customFormat="1" spans="1:14">
      <c r="A11" t="s">
        <v>16</v>
      </c>
      <c r="B11" s="188">
        <v>45658</v>
      </c>
      <c r="C11" t="s">
        <v>17</v>
      </c>
      <c r="D11" t="s">
        <v>18</v>
      </c>
      <c r="E11">
        <v>70389.11</v>
      </c>
      <c r="F11">
        <v>8302</v>
      </c>
      <c r="G11">
        <v>0.042</v>
      </c>
      <c r="H11">
        <v>17</v>
      </c>
      <c r="I11">
        <v>75</v>
      </c>
      <c r="J11">
        <v>5.28</v>
      </c>
      <c r="K11">
        <v>1</v>
      </c>
      <c r="L11">
        <v>3.1</v>
      </c>
      <c r="M11">
        <v>658832.62</v>
      </c>
      <c r="N11">
        <v>84349.93</v>
      </c>
    </row>
    <row r="12" customFormat="1" spans="1:14">
      <c r="A12" t="s">
        <v>16</v>
      </c>
      <c r="B12" s="188">
        <v>45689</v>
      </c>
      <c r="C12" t="s">
        <v>17</v>
      </c>
      <c r="D12" t="s">
        <v>18</v>
      </c>
      <c r="E12">
        <v>43827.89</v>
      </c>
      <c r="F12">
        <v>8487</v>
      </c>
      <c r="G12">
        <v>0.168</v>
      </c>
      <c r="H12">
        <v>23</v>
      </c>
      <c r="I12">
        <v>84.4</v>
      </c>
      <c r="J12">
        <v>4.31</v>
      </c>
      <c r="K12">
        <v>0</v>
      </c>
      <c r="L12">
        <v>2.8</v>
      </c>
      <c r="M12">
        <v>634436</v>
      </c>
      <c r="N12">
        <v>106130.54</v>
      </c>
    </row>
    <row r="13" customFormat="1" spans="1:14">
      <c r="A13" t="s">
        <v>16</v>
      </c>
      <c r="B13" s="188">
        <v>45717</v>
      </c>
      <c r="C13" t="s">
        <v>17</v>
      </c>
      <c r="D13" t="s">
        <v>18</v>
      </c>
      <c r="E13">
        <v>59921.75</v>
      </c>
      <c r="F13">
        <v>9113</v>
      </c>
      <c r="G13">
        <v>0.133</v>
      </c>
      <c r="H13">
        <v>20</v>
      </c>
      <c r="I13">
        <v>88</v>
      </c>
      <c r="J13">
        <v>12</v>
      </c>
      <c r="K13">
        <v>0</v>
      </c>
      <c r="L13">
        <v>3.2</v>
      </c>
      <c r="M13">
        <v>678722.06</v>
      </c>
      <c r="N13">
        <v>101883.86</v>
      </c>
    </row>
    <row r="14" customFormat="1" spans="1:14">
      <c r="A14" t="s">
        <v>16</v>
      </c>
      <c r="B14" s="188">
        <v>45748</v>
      </c>
      <c r="C14" t="s">
        <v>17</v>
      </c>
      <c r="D14" t="s">
        <v>18</v>
      </c>
      <c r="E14">
        <v>56856.63</v>
      </c>
      <c r="F14">
        <v>9431</v>
      </c>
      <c r="G14">
        <v>0.142</v>
      </c>
      <c r="H14">
        <v>23</v>
      </c>
      <c r="I14">
        <v>86.9</v>
      </c>
      <c r="J14">
        <v>4.97</v>
      </c>
      <c r="K14">
        <v>0</v>
      </c>
      <c r="L14">
        <v>3.4</v>
      </c>
      <c r="M14">
        <v>658920.3</v>
      </c>
      <c r="N14">
        <v>97910.37</v>
      </c>
    </row>
    <row r="15" customFormat="1" spans="1:14">
      <c r="A15" t="s">
        <v>19</v>
      </c>
      <c r="B15" s="188">
        <v>45658</v>
      </c>
      <c r="C15" t="s">
        <v>17</v>
      </c>
      <c r="D15" t="s">
        <v>20</v>
      </c>
      <c r="E15">
        <v>48412.64</v>
      </c>
      <c r="F15">
        <v>9545</v>
      </c>
      <c r="G15">
        <v>0.231</v>
      </c>
      <c r="H15">
        <v>21</v>
      </c>
      <c r="I15">
        <v>97.6</v>
      </c>
      <c r="J15">
        <v>6.94</v>
      </c>
      <c r="K15">
        <v>1</v>
      </c>
      <c r="L15">
        <v>4.2</v>
      </c>
      <c r="M15">
        <v>741341.44</v>
      </c>
      <c r="N15">
        <v>119208.17</v>
      </c>
    </row>
    <row r="16" customFormat="1" spans="1:14">
      <c r="A16" t="s">
        <v>19</v>
      </c>
      <c r="B16" s="188">
        <v>45689</v>
      </c>
      <c r="C16" t="s">
        <v>17</v>
      </c>
      <c r="D16" t="s">
        <v>20</v>
      </c>
      <c r="E16">
        <v>64811.21</v>
      </c>
      <c r="F16">
        <v>9792</v>
      </c>
      <c r="G16">
        <v>0.112</v>
      </c>
      <c r="H16">
        <v>20</v>
      </c>
      <c r="I16">
        <v>84.2</v>
      </c>
      <c r="J16">
        <v>2.88</v>
      </c>
      <c r="K16">
        <v>0</v>
      </c>
      <c r="L16">
        <v>4.2</v>
      </c>
      <c r="M16">
        <v>761835.34</v>
      </c>
      <c r="N16">
        <v>149602.23</v>
      </c>
    </row>
    <row r="17" customFormat="1" spans="1:14">
      <c r="A17" t="s">
        <v>19</v>
      </c>
      <c r="B17" s="188">
        <v>45717</v>
      </c>
      <c r="C17" t="s">
        <v>17</v>
      </c>
      <c r="D17" t="s">
        <v>20</v>
      </c>
      <c r="E17">
        <v>46213.45</v>
      </c>
      <c r="F17">
        <v>10616</v>
      </c>
      <c r="G17">
        <v>0.122</v>
      </c>
      <c r="H17">
        <v>22</v>
      </c>
      <c r="I17">
        <v>85.2</v>
      </c>
      <c r="J17">
        <v>0.2</v>
      </c>
      <c r="K17">
        <v>1</v>
      </c>
      <c r="L17">
        <v>4.1</v>
      </c>
      <c r="M17">
        <v>806615.54</v>
      </c>
      <c r="N17">
        <v>131364.62</v>
      </c>
    </row>
    <row r="18" customFormat="1" spans="1:14">
      <c r="A18" t="s">
        <v>19</v>
      </c>
      <c r="B18" s="188">
        <v>45748</v>
      </c>
      <c r="C18" t="s">
        <v>17</v>
      </c>
      <c r="D18" t="s">
        <v>20</v>
      </c>
      <c r="E18">
        <v>68148.52</v>
      </c>
      <c r="F18">
        <v>8567</v>
      </c>
      <c r="G18">
        <v>0.127</v>
      </c>
      <c r="H18">
        <v>23</v>
      </c>
      <c r="I18">
        <v>95.6</v>
      </c>
      <c r="J18">
        <v>0.8</v>
      </c>
      <c r="K18">
        <v>0</v>
      </c>
      <c r="L18">
        <v>3.9</v>
      </c>
      <c r="M18">
        <v>850164.26</v>
      </c>
      <c r="N18">
        <v>149262.75</v>
      </c>
    </row>
    <row r="19" customFormat="1" spans="1:14">
      <c r="A19" t="s">
        <v>21</v>
      </c>
      <c r="B19" s="188">
        <v>45658</v>
      </c>
      <c r="C19" t="s">
        <v>22</v>
      </c>
      <c r="D19" t="s">
        <v>23</v>
      </c>
      <c r="E19">
        <v>71838.86</v>
      </c>
      <c r="F19">
        <v>10979</v>
      </c>
      <c r="G19">
        <v>0.215</v>
      </c>
      <c r="H19">
        <v>26</v>
      </c>
      <c r="I19">
        <v>88.6</v>
      </c>
      <c r="J19">
        <v>7.7</v>
      </c>
      <c r="K19">
        <v>1</v>
      </c>
      <c r="L19">
        <v>3.8</v>
      </c>
      <c r="M19">
        <v>930581.7</v>
      </c>
      <c r="N19">
        <v>136207.98</v>
      </c>
    </row>
    <row r="20" customFormat="1" spans="1:14">
      <c r="A20" t="s">
        <v>21</v>
      </c>
      <c r="B20" s="188">
        <v>45689</v>
      </c>
      <c r="C20" t="s">
        <v>22</v>
      </c>
      <c r="D20" t="s">
        <v>23</v>
      </c>
      <c r="E20">
        <v>68133.44</v>
      </c>
      <c r="F20">
        <v>9459</v>
      </c>
      <c r="G20">
        <v>0.22</v>
      </c>
      <c r="H20">
        <v>21</v>
      </c>
      <c r="I20">
        <v>85</v>
      </c>
      <c r="J20">
        <v>1.91</v>
      </c>
      <c r="K20">
        <v>0</v>
      </c>
      <c r="L20">
        <v>4.2</v>
      </c>
      <c r="M20">
        <v>779010.94</v>
      </c>
      <c r="N20">
        <v>106328.09</v>
      </c>
    </row>
    <row r="21" customFormat="1" spans="1:14">
      <c r="A21" t="s">
        <v>21</v>
      </c>
      <c r="B21" s="188">
        <v>45717</v>
      </c>
      <c r="C21" t="s">
        <v>22</v>
      </c>
      <c r="D21" t="s">
        <v>23</v>
      </c>
      <c r="E21">
        <v>34285.21</v>
      </c>
      <c r="F21">
        <v>9172</v>
      </c>
      <c r="G21">
        <v>0.213</v>
      </c>
      <c r="H21">
        <v>22</v>
      </c>
      <c r="I21">
        <v>88.3</v>
      </c>
      <c r="J21">
        <v>10.46</v>
      </c>
      <c r="K21">
        <v>1</v>
      </c>
      <c r="L21">
        <v>3.8</v>
      </c>
      <c r="M21">
        <v>723060.76</v>
      </c>
      <c r="N21">
        <v>123131.24</v>
      </c>
    </row>
    <row r="22" customFormat="1" spans="1:14">
      <c r="A22" t="s">
        <v>21</v>
      </c>
      <c r="B22" s="188">
        <v>45748</v>
      </c>
      <c r="C22" t="s">
        <v>22</v>
      </c>
      <c r="D22" t="s">
        <v>23</v>
      </c>
      <c r="E22">
        <v>67979.88</v>
      </c>
      <c r="F22">
        <v>11230</v>
      </c>
      <c r="G22">
        <v>0.002</v>
      </c>
      <c r="H22">
        <v>28</v>
      </c>
      <c r="I22">
        <v>85.3</v>
      </c>
      <c r="J22">
        <v>7.16</v>
      </c>
      <c r="K22">
        <v>0</v>
      </c>
      <c r="L22">
        <v>3.8</v>
      </c>
      <c r="M22">
        <v>910791.94</v>
      </c>
      <c r="N22">
        <v>158891.28</v>
      </c>
    </row>
    <row r="23" customFormat="1" spans="1:14">
      <c r="A23" t="s">
        <v>24</v>
      </c>
      <c r="B23" s="188">
        <v>45658</v>
      </c>
      <c r="C23" t="s">
        <v>17</v>
      </c>
      <c r="D23" t="s">
        <v>18</v>
      </c>
      <c r="E23">
        <v>71828.26</v>
      </c>
      <c r="F23">
        <v>12775</v>
      </c>
      <c r="G23">
        <v>0.116</v>
      </c>
      <c r="H23">
        <v>30</v>
      </c>
      <c r="I23">
        <v>81.7</v>
      </c>
      <c r="J23">
        <v>4.24</v>
      </c>
      <c r="K23">
        <v>1</v>
      </c>
      <c r="L23">
        <v>4.2</v>
      </c>
      <c r="M23">
        <v>922168.6</v>
      </c>
      <c r="N23">
        <v>107494.53</v>
      </c>
    </row>
    <row r="24" customFormat="1" spans="1:14">
      <c r="A24" t="s">
        <v>24</v>
      </c>
      <c r="B24" s="188">
        <v>45689</v>
      </c>
      <c r="C24" t="s">
        <v>17</v>
      </c>
      <c r="D24" t="s">
        <v>18</v>
      </c>
      <c r="E24">
        <v>55716.82</v>
      </c>
      <c r="F24">
        <v>10054</v>
      </c>
      <c r="G24">
        <v>0.146</v>
      </c>
      <c r="H24">
        <v>24</v>
      </c>
      <c r="I24">
        <v>84.9</v>
      </c>
      <c r="J24">
        <v>1.06</v>
      </c>
      <c r="K24">
        <v>0</v>
      </c>
      <c r="L24">
        <v>4.3</v>
      </c>
      <c r="M24">
        <v>726606.28</v>
      </c>
      <c r="N24">
        <v>122729.29</v>
      </c>
    </row>
    <row r="25" customFormat="1" spans="1:14">
      <c r="A25" t="s">
        <v>24</v>
      </c>
      <c r="B25" s="188">
        <v>45717</v>
      </c>
      <c r="C25" t="s">
        <v>17</v>
      </c>
      <c r="D25" t="s">
        <v>18</v>
      </c>
      <c r="E25">
        <v>59909.51</v>
      </c>
      <c r="F25">
        <v>8895</v>
      </c>
      <c r="G25">
        <v>0.228</v>
      </c>
      <c r="H25">
        <v>23</v>
      </c>
      <c r="I25">
        <v>88.8</v>
      </c>
      <c r="J25">
        <v>0.27</v>
      </c>
      <c r="K25">
        <v>0</v>
      </c>
      <c r="L25">
        <v>4.3</v>
      </c>
      <c r="M25">
        <v>746501.09</v>
      </c>
      <c r="N25">
        <v>136816.72</v>
      </c>
    </row>
    <row r="26" customFormat="1" spans="1:14">
      <c r="A26" t="s">
        <v>24</v>
      </c>
      <c r="B26" s="188">
        <v>45748</v>
      </c>
      <c r="C26" t="s">
        <v>17</v>
      </c>
      <c r="D26" t="s">
        <v>18</v>
      </c>
      <c r="E26">
        <v>75305.71</v>
      </c>
      <c r="F26">
        <v>10940</v>
      </c>
      <c r="G26">
        <v>0.006</v>
      </c>
      <c r="H26">
        <v>26</v>
      </c>
      <c r="I26">
        <v>76.5</v>
      </c>
      <c r="J26">
        <v>1.32</v>
      </c>
      <c r="K26">
        <v>0</v>
      </c>
      <c r="L26">
        <v>4.5</v>
      </c>
      <c r="M26">
        <v>834017.02</v>
      </c>
      <c r="N26">
        <v>114745.03</v>
      </c>
    </row>
    <row r="27" customFormat="1" spans="1:14">
      <c r="A27" t="s">
        <v>25</v>
      </c>
      <c r="B27" s="188">
        <v>45658</v>
      </c>
      <c r="C27" t="s">
        <v>26</v>
      </c>
      <c r="D27" t="s">
        <v>18</v>
      </c>
      <c r="E27">
        <v>48804.22</v>
      </c>
      <c r="F27">
        <v>7057</v>
      </c>
      <c r="G27">
        <v>0.005</v>
      </c>
      <c r="H27">
        <v>15</v>
      </c>
      <c r="I27">
        <v>87.7</v>
      </c>
      <c r="J27">
        <v>1.22</v>
      </c>
      <c r="K27">
        <v>0</v>
      </c>
      <c r="L27">
        <v>3.7</v>
      </c>
      <c r="M27">
        <v>666152.52</v>
      </c>
      <c r="N27">
        <v>107490.58</v>
      </c>
    </row>
    <row r="28" customFormat="1" spans="1:14">
      <c r="A28" t="s">
        <v>25</v>
      </c>
      <c r="B28" s="188">
        <v>45689</v>
      </c>
      <c r="C28" t="s">
        <v>26</v>
      </c>
      <c r="D28" t="s">
        <v>18</v>
      </c>
      <c r="E28">
        <v>59117.9</v>
      </c>
      <c r="F28">
        <v>4263</v>
      </c>
      <c r="G28">
        <v>0.119</v>
      </c>
      <c r="H28">
        <v>9</v>
      </c>
      <c r="I28">
        <v>87.6</v>
      </c>
      <c r="J28">
        <v>4.01</v>
      </c>
      <c r="K28">
        <v>0</v>
      </c>
      <c r="L28">
        <v>3.6</v>
      </c>
      <c r="M28">
        <v>573155.19</v>
      </c>
      <c r="N28">
        <v>83680.75</v>
      </c>
    </row>
    <row r="29" customFormat="1" spans="1:14">
      <c r="A29" t="s">
        <v>25</v>
      </c>
      <c r="B29" s="188">
        <v>45717</v>
      </c>
      <c r="C29" t="s">
        <v>26</v>
      </c>
      <c r="D29" t="s">
        <v>18</v>
      </c>
      <c r="E29">
        <v>78831.12</v>
      </c>
      <c r="F29">
        <v>5538</v>
      </c>
      <c r="G29">
        <v>0</v>
      </c>
      <c r="H29">
        <v>15</v>
      </c>
      <c r="I29">
        <v>94.1</v>
      </c>
      <c r="J29">
        <v>0.2</v>
      </c>
      <c r="K29">
        <v>0</v>
      </c>
      <c r="L29">
        <v>3.9</v>
      </c>
      <c r="M29">
        <v>666573.2</v>
      </c>
      <c r="N29">
        <v>140641.02</v>
      </c>
    </row>
    <row r="30" customFormat="1" spans="1:14">
      <c r="A30" t="s">
        <v>25</v>
      </c>
      <c r="B30" s="188">
        <v>45748</v>
      </c>
      <c r="C30" t="s">
        <v>26</v>
      </c>
      <c r="D30" t="s">
        <v>18</v>
      </c>
      <c r="E30">
        <v>41441.93</v>
      </c>
      <c r="F30">
        <v>4865</v>
      </c>
      <c r="G30">
        <v>0.158</v>
      </c>
      <c r="H30">
        <v>16</v>
      </c>
      <c r="I30">
        <v>88.3</v>
      </c>
      <c r="J30">
        <v>0.5</v>
      </c>
      <c r="K30">
        <v>0</v>
      </c>
      <c r="L30">
        <v>4</v>
      </c>
      <c r="M30">
        <v>591619.95</v>
      </c>
      <c r="N30">
        <v>99521.35</v>
      </c>
    </row>
    <row r="31" customFormat="1" spans="1:14">
      <c r="A31" t="s">
        <v>27</v>
      </c>
      <c r="B31" s="188">
        <v>45658</v>
      </c>
      <c r="C31" t="s">
        <v>22</v>
      </c>
      <c r="D31" t="s">
        <v>18</v>
      </c>
      <c r="E31">
        <v>30356.28</v>
      </c>
      <c r="F31">
        <v>2822</v>
      </c>
      <c r="G31">
        <v>0.231</v>
      </c>
      <c r="H31">
        <v>9</v>
      </c>
      <c r="I31">
        <v>84.8</v>
      </c>
      <c r="J31">
        <v>6.95</v>
      </c>
      <c r="K31">
        <v>0</v>
      </c>
      <c r="L31">
        <v>5</v>
      </c>
      <c r="M31">
        <v>415721.82</v>
      </c>
      <c r="N31">
        <v>61179.15</v>
      </c>
    </row>
    <row r="32" customFormat="1" spans="1:14">
      <c r="A32" t="s">
        <v>27</v>
      </c>
      <c r="B32" s="188">
        <v>45689</v>
      </c>
      <c r="C32" t="s">
        <v>22</v>
      </c>
      <c r="D32" t="s">
        <v>18</v>
      </c>
      <c r="E32">
        <v>33518.88</v>
      </c>
      <c r="F32">
        <v>2121</v>
      </c>
      <c r="G32">
        <v>0.176</v>
      </c>
      <c r="H32">
        <v>8</v>
      </c>
      <c r="I32">
        <v>88.5</v>
      </c>
      <c r="J32">
        <v>0.2</v>
      </c>
      <c r="K32">
        <v>0</v>
      </c>
      <c r="L32">
        <v>5</v>
      </c>
      <c r="M32">
        <v>491905.13</v>
      </c>
      <c r="N32">
        <v>79212.26</v>
      </c>
    </row>
    <row r="33" customFormat="1" spans="1:14">
      <c r="A33" t="s">
        <v>27</v>
      </c>
      <c r="B33" s="188">
        <v>45717</v>
      </c>
      <c r="C33" t="s">
        <v>22</v>
      </c>
      <c r="D33" t="s">
        <v>18</v>
      </c>
      <c r="E33">
        <v>42267.37</v>
      </c>
      <c r="F33">
        <v>3364</v>
      </c>
      <c r="G33">
        <v>0.16</v>
      </c>
      <c r="H33">
        <v>13</v>
      </c>
      <c r="I33">
        <v>82</v>
      </c>
      <c r="J33">
        <v>1.61</v>
      </c>
      <c r="K33">
        <v>1</v>
      </c>
      <c r="L33">
        <v>4.6</v>
      </c>
      <c r="M33">
        <v>555929.4</v>
      </c>
      <c r="N33">
        <v>115201.76</v>
      </c>
    </row>
    <row r="34" customFormat="1" spans="1:14">
      <c r="A34" t="s">
        <v>27</v>
      </c>
      <c r="B34" s="188">
        <v>45748</v>
      </c>
      <c r="C34" t="s">
        <v>22</v>
      </c>
      <c r="D34" t="s">
        <v>18</v>
      </c>
      <c r="E34">
        <v>62060.43</v>
      </c>
      <c r="F34">
        <v>2613</v>
      </c>
      <c r="G34">
        <v>0.216</v>
      </c>
      <c r="H34">
        <v>12</v>
      </c>
      <c r="I34">
        <v>92.1</v>
      </c>
      <c r="J34">
        <v>1.55</v>
      </c>
      <c r="K34">
        <v>0</v>
      </c>
      <c r="L34">
        <v>4.7</v>
      </c>
      <c r="M34">
        <v>565810.99</v>
      </c>
      <c r="N34">
        <v>77825.46</v>
      </c>
    </row>
    <row r="35" customFormat="1" spans="1:14">
      <c r="A35" t="s">
        <v>28</v>
      </c>
      <c r="B35" s="188">
        <v>45658</v>
      </c>
      <c r="C35" t="s">
        <v>29</v>
      </c>
      <c r="D35" t="s">
        <v>30</v>
      </c>
      <c r="E35">
        <v>57696.69</v>
      </c>
      <c r="F35">
        <v>10218</v>
      </c>
      <c r="G35">
        <v>0.121</v>
      </c>
      <c r="H35">
        <v>25</v>
      </c>
      <c r="I35">
        <v>94.8</v>
      </c>
      <c r="J35">
        <v>2.99</v>
      </c>
      <c r="K35">
        <v>0</v>
      </c>
      <c r="L35">
        <v>3.5</v>
      </c>
      <c r="M35">
        <v>811771.14</v>
      </c>
      <c r="N35">
        <v>148756.24</v>
      </c>
    </row>
    <row r="36" customFormat="1" spans="1:14">
      <c r="A36" t="s">
        <v>28</v>
      </c>
      <c r="B36" s="188">
        <v>45689</v>
      </c>
      <c r="C36" t="s">
        <v>29</v>
      </c>
      <c r="D36" t="s">
        <v>30</v>
      </c>
      <c r="E36">
        <v>172415.52</v>
      </c>
      <c r="F36">
        <v>8927</v>
      </c>
      <c r="G36">
        <v>0.14</v>
      </c>
      <c r="H36">
        <v>22</v>
      </c>
      <c r="I36">
        <v>86.2</v>
      </c>
      <c r="J36">
        <v>7.04</v>
      </c>
      <c r="K36">
        <v>0</v>
      </c>
      <c r="L36">
        <v>3.9</v>
      </c>
      <c r="M36">
        <v>800451.94</v>
      </c>
      <c r="N36">
        <v>111572.29</v>
      </c>
    </row>
    <row r="37" customFormat="1" spans="1:14">
      <c r="A37" t="s">
        <v>28</v>
      </c>
      <c r="B37" s="188">
        <v>45717</v>
      </c>
      <c r="C37" t="s">
        <v>29</v>
      </c>
      <c r="D37" t="s">
        <v>30</v>
      </c>
      <c r="E37">
        <v>55270.52</v>
      </c>
      <c r="F37">
        <v>9315</v>
      </c>
      <c r="G37">
        <v>0.169</v>
      </c>
      <c r="H37">
        <v>23</v>
      </c>
      <c r="I37">
        <v>91.9</v>
      </c>
      <c r="J37">
        <v>4.94</v>
      </c>
      <c r="K37">
        <v>0</v>
      </c>
      <c r="L37">
        <v>4</v>
      </c>
      <c r="M37">
        <v>783672.82</v>
      </c>
      <c r="N37">
        <v>112577.14</v>
      </c>
    </row>
    <row r="38" customFormat="1" spans="1:14">
      <c r="A38" t="s">
        <v>28</v>
      </c>
      <c r="B38" s="188">
        <v>45748</v>
      </c>
      <c r="C38" t="s">
        <v>29</v>
      </c>
      <c r="D38" t="s">
        <v>30</v>
      </c>
      <c r="E38">
        <v>52715.1</v>
      </c>
      <c r="F38">
        <v>7223</v>
      </c>
      <c r="G38">
        <v>0.122</v>
      </c>
      <c r="H38">
        <v>16</v>
      </c>
      <c r="I38">
        <v>84.2</v>
      </c>
      <c r="J38">
        <v>16.15</v>
      </c>
      <c r="K38">
        <v>0</v>
      </c>
      <c r="L38">
        <v>3.7</v>
      </c>
      <c r="M38">
        <v>701641.97</v>
      </c>
      <c r="N38">
        <v>106111.86</v>
      </c>
    </row>
    <row r="39" customFormat="1" spans="1:14">
      <c r="A39" t="s">
        <v>31</v>
      </c>
      <c r="B39" s="188">
        <v>45658</v>
      </c>
      <c r="C39" t="s">
        <v>17</v>
      </c>
      <c r="D39" t="s">
        <v>18</v>
      </c>
      <c r="E39">
        <v>68600.62</v>
      </c>
      <c r="F39">
        <v>3988</v>
      </c>
      <c r="G39">
        <v>0.124</v>
      </c>
      <c r="H39">
        <v>11</v>
      </c>
      <c r="I39">
        <v>85</v>
      </c>
      <c r="J39">
        <v>0.48</v>
      </c>
      <c r="K39">
        <v>0</v>
      </c>
      <c r="L39">
        <v>3.6</v>
      </c>
      <c r="M39">
        <v>511844.41</v>
      </c>
      <c r="N39">
        <v>72774.44</v>
      </c>
    </row>
    <row r="40" customFormat="1" spans="1:14">
      <c r="A40" t="s">
        <v>31</v>
      </c>
      <c r="B40" s="188">
        <v>45689</v>
      </c>
      <c r="C40" t="s">
        <v>17</v>
      </c>
      <c r="D40" t="s">
        <v>18</v>
      </c>
      <c r="E40">
        <v>63176.73</v>
      </c>
      <c r="F40">
        <v>2390</v>
      </c>
      <c r="G40">
        <v>0.216</v>
      </c>
      <c r="H40">
        <v>9</v>
      </c>
      <c r="I40">
        <v>87.5</v>
      </c>
      <c r="J40">
        <v>0.31</v>
      </c>
      <c r="K40">
        <v>0</v>
      </c>
      <c r="L40">
        <v>3.1</v>
      </c>
      <c r="M40">
        <v>537383.79</v>
      </c>
      <c r="N40">
        <v>63773.27</v>
      </c>
    </row>
    <row r="41" customFormat="1" spans="1:14">
      <c r="A41" t="s">
        <v>31</v>
      </c>
      <c r="B41" s="188">
        <v>45717</v>
      </c>
      <c r="C41" t="s">
        <v>17</v>
      </c>
      <c r="D41" t="s">
        <v>18</v>
      </c>
      <c r="E41">
        <v>44970.08</v>
      </c>
      <c r="F41">
        <v>2471</v>
      </c>
      <c r="G41">
        <v>0.136</v>
      </c>
      <c r="H41">
        <v>11</v>
      </c>
      <c r="I41">
        <v>87.6</v>
      </c>
      <c r="J41">
        <v>3.01</v>
      </c>
      <c r="K41">
        <v>1</v>
      </c>
      <c r="L41">
        <v>3.7</v>
      </c>
      <c r="M41">
        <v>500173.02</v>
      </c>
      <c r="N41">
        <v>70982.05</v>
      </c>
    </row>
    <row r="42" customFormat="1" spans="1:14">
      <c r="A42" t="s">
        <v>31</v>
      </c>
      <c r="B42" s="188">
        <v>45748</v>
      </c>
      <c r="C42" t="s">
        <v>17</v>
      </c>
      <c r="D42" t="s">
        <v>18</v>
      </c>
      <c r="E42">
        <v>69816.35</v>
      </c>
      <c r="F42">
        <v>971</v>
      </c>
      <c r="G42">
        <v>0.168</v>
      </c>
      <c r="H42">
        <v>5</v>
      </c>
      <c r="I42">
        <v>89.9</v>
      </c>
      <c r="J42">
        <v>12.15</v>
      </c>
      <c r="K42">
        <v>0</v>
      </c>
      <c r="L42">
        <v>3.6</v>
      </c>
      <c r="M42">
        <v>427917.38</v>
      </c>
      <c r="N42">
        <v>81824.31</v>
      </c>
    </row>
    <row r="43" customFormat="1" spans="1:14">
      <c r="A43" t="s">
        <v>32</v>
      </c>
      <c r="B43" s="188">
        <v>45658</v>
      </c>
      <c r="C43" t="s">
        <v>22</v>
      </c>
      <c r="D43" t="s">
        <v>18</v>
      </c>
      <c r="E43">
        <v>54597.83</v>
      </c>
      <c r="F43">
        <v>9429</v>
      </c>
      <c r="G43">
        <v>0.188</v>
      </c>
      <c r="H43">
        <v>21</v>
      </c>
      <c r="I43">
        <v>83.3</v>
      </c>
      <c r="J43">
        <v>11.71</v>
      </c>
      <c r="K43">
        <v>0</v>
      </c>
      <c r="L43">
        <v>4.2</v>
      </c>
      <c r="M43">
        <v>641865.03</v>
      </c>
      <c r="N43">
        <v>81342.58</v>
      </c>
    </row>
    <row r="44" customFormat="1" spans="1:14">
      <c r="A44" t="s">
        <v>32</v>
      </c>
      <c r="B44" s="188">
        <v>45689</v>
      </c>
      <c r="C44" t="s">
        <v>22</v>
      </c>
      <c r="D44" t="s">
        <v>18</v>
      </c>
      <c r="E44">
        <v>73771.91</v>
      </c>
      <c r="F44">
        <v>11695</v>
      </c>
      <c r="G44">
        <v>0.07</v>
      </c>
      <c r="H44">
        <v>25</v>
      </c>
      <c r="I44">
        <v>84.7</v>
      </c>
      <c r="J44">
        <v>0.62</v>
      </c>
      <c r="K44">
        <v>0</v>
      </c>
      <c r="L44">
        <v>3.95</v>
      </c>
      <c r="M44">
        <v>799477.76</v>
      </c>
      <c r="N44">
        <v>164974.41</v>
      </c>
    </row>
    <row r="45" customFormat="1" spans="1:14">
      <c r="A45" t="s">
        <v>32</v>
      </c>
      <c r="B45" s="188">
        <v>45717</v>
      </c>
      <c r="C45" t="s">
        <v>22</v>
      </c>
      <c r="D45" t="s">
        <v>18</v>
      </c>
      <c r="E45">
        <v>74413.88</v>
      </c>
      <c r="F45">
        <v>9449</v>
      </c>
      <c r="G45">
        <v>0.039</v>
      </c>
      <c r="H45">
        <v>23</v>
      </c>
      <c r="I45">
        <v>92.1</v>
      </c>
      <c r="J45">
        <v>2.12</v>
      </c>
      <c r="K45">
        <v>0</v>
      </c>
      <c r="L45">
        <v>3.5</v>
      </c>
      <c r="M45">
        <v>798952.17</v>
      </c>
      <c r="N45">
        <v>161499.04</v>
      </c>
    </row>
    <row r="46" customFormat="1" spans="1:14">
      <c r="A46" t="s">
        <v>32</v>
      </c>
      <c r="B46" s="188">
        <v>45748</v>
      </c>
      <c r="C46" t="s">
        <v>22</v>
      </c>
      <c r="D46" t="s">
        <v>18</v>
      </c>
      <c r="E46">
        <v>52483.77</v>
      </c>
      <c r="F46">
        <v>10453</v>
      </c>
      <c r="G46">
        <v>0.247</v>
      </c>
      <c r="H46">
        <v>25</v>
      </c>
      <c r="I46">
        <v>99</v>
      </c>
      <c r="J46">
        <v>6.31</v>
      </c>
      <c r="K46">
        <v>0</v>
      </c>
      <c r="L46">
        <v>3.6</v>
      </c>
      <c r="M46">
        <v>800979.78</v>
      </c>
      <c r="N46">
        <v>149242.27</v>
      </c>
    </row>
    <row r="47" customFormat="1" spans="1:14">
      <c r="A47" t="s">
        <v>33</v>
      </c>
      <c r="B47" s="188">
        <v>45658</v>
      </c>
      <c r="C47" t="s">
        <v>22</v>
      </c>
      <c r="D47" t="s">
        <v>30</v>
      </c>
      <c r="E47">
        <v>75269.87</v>
      </c>
      <c r="F47">
        <v>8838</v>
      </c>
      <c r="G47">
        <v>0.092</v>
      </c>
      <c r="H47">
        <v>21</v>
      </c>
      <c r="I47">
        <v>83.1</v>
      </c>
      <c r="J47">
        <v>9.56</v>
      </c>
      <c r="K47">
        <v>1</v>
      </c>
      <c r="L47">
        <v>4.2</v>
      </c>
      <c r="M47">
        <v>820593.93</v>
      </c>
      <c r="N47">
        <v>115860.06</v>
      </c>
    </row>
    <row r="48" customFormat="1" spans="1:14">
      <c r="A48" t="s">
        <v>33</v>
      </c>
      <c r="B48" s="188">
        <v>45689</v>
      </c>
      <c r="C48" t="s">
        <v>22</v>
      </c>
      <c r="D48" t="s">
        <v>30</v>
      </c>
      <c r="E48">
        <v>61245.41</v>
      </c>
      <c r="F48">
        <v>8156</v>
      </c>
      <c r="G48">
        <v>0.156</v>
      </c>
      <c r="H48">
        <v>19</v>
      </c>
      <c r="I48">
        <v>92.9</v>
      </c>
      <c r="J48">
        <v>9.05</v>
      </c>
      <c r="K48">
        <v>0</v>
      </c>
      <c r="L48">
        <v>3.8</v>
      </c>
      <c r="M48">
        <v>718330.53</v>
      </c>
      <c r="N48">
        <v>93247.9</v>
      </c>
    </row>
    <row r="49" customFormat="1" spans="1:14">
      <c r="A49" t="s">
        <v>33</v>
      </c>
      <c r="B49" s="188">
        <v>45717</v>
      </c>
      <c r="C49" t="s">
        <v>22</v>
      </c>
      <c r="D49" t="s">
        <v>30</v>
      </c>
      <c r="E49">
        <v>93381.26</v>
      </c>
      <c r="F49">
        <v>7562</v>
      </c>
      <c r="G49">
        <v>0.198</v>
      </c>
      <c r="H49">
        <v>19</v>
      </c>
      <c r="I49">
        <v>82.9</v>
      </c>
      <c r="J49">
        <v>5.05</v>
      </c>
      <c r="K49">
        <v>0</v>
      </c>
      <c r="L49">
        <v>4</v>
      </c>
      <c r="M49">
        <v>736633.4</v>
      </c>
      <c r="N49">
        <v>115654.66</v>
      </c>
    </row>
    <row r="50" customFormat="1" spans="1:14">
      <c r="A50" t="s">
        <v>33</v>
      </c>
      <c r="B50" s="188">
        <v>45748</v>
      </c>
      <c r="C50" t="s">
        <v>22</v>
      </c>
      <c r="D50" t="s">
        <v>30</v>
      </c>
      <c r="E50">
        <v>65012.19</v>
      </c>
      <c r="F50">
        <v>9598</v>
      </c>
      <c r="G50">
        <v>0.085</v>
      </c>
      <c r="H50">
        <v>24</v>
      </c>
      <c r="I50">
        <v>98.3</v>
      </c>
      <c r="J50">
        <v>0.89</v>
      </c>
      <c r="K50">
        <v>0</v>
      </c>
      <c r="L50">
        <v>3.8</v>
      </c>
      <c r="M50">
        <v>828623.85</v>
      </c>
      <c r="N50">
        <v>167320.52</v>
      </c>
    </row>
    <row r="51" customFormat="1" spans="1:14">
      <c r="A51" t="s">
        <v>34</v>
      </c>
      <c r="B51" s="188">
        <v>45658</v>
      </c>
      <c r="C51" t="s">
        <v>17</v>
      </c>
      <c r="D51" t="s">
        <v>30</v>
      </c>
      <c r="E51">
        <v>40462.94</v>
      </c>
      <c r="F51">
        <v>3660</v>
      </c>
      <c r="G51">
        <v>0.218</v>
      </c>
      <c r="H51">
        <v>11</v>
      </c>
      <c r="I51">
        <v>95.2</v>
      </c>
      <c r="J51">
        <v>5.57</v>
      </c>
      <c r="K51">
        <v>0</v>
      </c>
      <c r="L51">
        <v>4.4</v>
      </c>
      <c r="M51">
        <v>592195.85</v>
      </c>
      <c r="N51">
        <v>92291.56</v>
      </c>
    </row>
    <row r="52" customFormat="1" spans="1:14">
      <c r="A52" t="s">
        <v>34</v>
      </c>
      <c r="B52" s="188">
        <v>45689</v>
      </c>
      <c r="C52" t="s">
        <v>17</v>
      </c>
      <c r="D52" t="s">
        <v>30</v>
      </c>
      <c r="E52">
        <v>46123.88</v>
      </c>
      <c r="F52">
        <v>3227</v>
      </c>
      <c r="G52">
        <v>0.143</v>
      </c>
      <c r="H52">
        <v>10</v>
      </c>
      <c r="I52">
        <v>75.4</v>
      </c>
      <c r="J52">
        <v>1.06</v>
      </c>
      <c r="K52">
        <v>0</v>
      </c>
      <c r="L52">
        <v>4.4</v>
      </c>
      <c r="M52">
        <v>532644.46</v>
      </c>
      <c r="N52">
        <v>60681.32</v>
      </c>
    </row>
    <row r="53" customFormat="1" spans="1:14">
      <c r="A53" t="s">
        <v>34</v>
      </c>
      <c r="B53" s="188">
        <v>45717</v>
      </c>
      <c r="C53" t="s">
        <v>17</v>
      </c>
      <c r="D53" t="s">
        <v>30</v>
      </c>
      <c r="E53">
        <v>68077.54</v>
      </c>
      <c r="F53">
        <v>3360</v>
      </c>
      <c r="G53">
        <v>0.128</v>
      </c>
      <c r="H53">
        <v>14</v>
      </c>
      <c r="I53">
        <v>88.2</v>
      </c>
      <c r="J53">
        <v>1.24</v>
      </c>
      <c r="K53">
        <v>1</v>
      </c>
      <c r="L53">
        <v>4</v>
      </c>
      <c r="M53">
        <v>657429.18</v>
      </c>
      <c r="N53">
        <v>88919.74</v>
      </c>
    </row>
    <row r="54" customFormat="1" spans="1:14">
      <c r="A54" t="s">
        <v>34</v>
      </c>
      <c r="B54" s="188">
        <v>45748</v>
      </c>
      <c r="C54" t="s">
        <v>17</v>
      </c>
      <c r="D54" t="s">
        <v>30</v>
      </c>
      <c r="E54">
        <v>64882.14</v>
      </c>
      <c r="F54">
        <v>3642</v>
      </c>
      <c r="G54">
        <v>0.019</v>
      </c>
      <c r="H54">
        <v>13</v>
      </c>
      <c r="I54">
        <v>87.8</v>
      </c>
      <c r="J54">
        <v>4.52</v>
      </c>
      <c r="K54">
        <v>0</v>
      </c>
      <c r="L54">
        <v>4.2</v>
      </c>
      <c r="M54">
        <v>605178</v>
      </c>
      <c r="N54">
        <v>106958.74</v>
      </c>
    </row>
    <row r="55" customFormat="1" spans="1:14">
      <c r="A55" t="s">
        <v>35</v>
      </c>
      <c r="B55" s="188">
        <v>45658</v>
      </c>
      <c r="C55" t="s">
        <v>29</v>
      </c>
      <c r="D55" t="s">
        <v>18</v>
      </c>
      <c r="E55">
        <v>138855.51</v>
      </c>
      <c r="F55">
        <v>5145</v>
      </c>
      <c r="G55">
        <v>0.06</v>
      </c>
      <c r="H55">
        <v>17</v>
      </c>
      <c r="I55">
        <v>88.2</v>
      </c>
      <c r="J55">
        <v>9.58</v>
      </c>
      <c r="K55">
        <v>0</v>
      </c>
      <c r="L55">
        <v>3.2</v>
      </c>
      <c r="M55">
        <v>595467.6</v>
      </c>
      <c r="N55">
        <v>104276.46</v>
      </c>
    </row>
    <row r="56" customFormat="1" spans="1:14">
      <c r="A56" t="s">
        <v>35</v>
      </c>
      <c r="B56" s="188">
        <v>45689</v>
      </c>
      <c r="C56" t="s">
        <v>29</v>
      </c>
      <c r="D56" t="s">
        <v>18</v>
      </c>
      <c r="E56">
        <v>63630.21</v>
      </c>
      <c r="F56">
        <v>4460</v>
      </c>
      <c r="G56">
        <v>0.235</v>
      </c>
      <c r="H56">
        <v>14</v>
      </c>
      <c r="I56">
        <v>98.6</v>
      </c>
      <c r="J56">
        <v>5.52</v>
      </c>
      <c r="K56">
        <v>0</v>
      </c>
      <c r="L56">
        <v>3.5</v>
      </c>
      <c r="M56">
        <v>599603.4</v>
      </c>
      <c r="N56">
        <v>112685.12</v>
      </c>
    </row>
    <row r="57" customFormat="1" spans="1:14">
      <c r="A57" t="s">
        <v>35</v>
      </c>
      <c r="B57" s="188">
        <v>45717</v>
      </c>
      <c r="C57" t="s">
        <v>29</v>
      </c>
      <c r="D57" t="s">
        <v>18</v>
      </c>
      <c r="E57">
        <v>50043.65</v>
      </c>
      <c r="F57">
        <v>3804</v>
      </c>
      <c r="G57">
        <v>0.113</v>
      </c>
      <c r="H57">
        <v>11</v>
      </c>
      <c r="I57">
        <v>90.9</v>
      </c>
      <c r="J57">
        <v>2.7</v>
      </c>
      <c r="K57">
        <v>1</v>
      </c>
      <c r="L57">
        <v>3.2</v>
      </c>
      <c r="M57">
        <v>614800.09</v>
      </c>
      <c r="N57">
        <v>100044.2</v>
      </c>
    </row>
    <row r="58" customFormat="1" spans="1:14">
      <c r="A58" t="s">
        <v>35</v>
      </c>
      <c r="B58" s="188">
        <v>45748</v>
      </c>
      <c r="C58" t="s">
        <v>29</v>
      </c>
      <c r="D58" t="s">
        <v>18</v>
      </c>
      <c r="E58">
        <v>42093.84</v>
      </c>
      <c r="F58">
        <v>4074</v>
      </c>
      <c r="G58">
        <v>0.155</v>
      </c>
      <c r="H58">
        <v>15</v>
      </c>
      <c r="I58">
        <v>88</v>
      </c>
      <c r="J58">
        <v>9.64</v>
      </c>
      <c r="K58">
        <v>0</v>
      </c>
      <c r="L58">
        <v>3.3</v>
      </c>
      <c r="M58">
        <v>585365.73</v>
      </c>
      <c r="N58">
        <v>81011.52</v>
      </c>
    </row>
    <row r="59" customFormat="1" spans="1:14">
      <c r="A59" t="s">
        <v>36</v>
      </c>
      <c r="B59" s="188">
        <v>45658</v>
      </c>
      <c r="C59" t="s">
        <v>22</v>
      </c>
      <c r="D59" t="s">
        <v>30</v>
      </c>
      <c r="E59">
        <v>46624.05</v>
      </c>
      <c r="F59">
        <v>5104</v>
      </c>
      <c r="G59">
        <v>0.109</v>
      </c>
      <c r="H59">
        <v>11</v>
      </c>
      <c r="I59">
        <v>97.3</v>
      </c>
      <c r="J59">
        <v>3.49</v>
      </c>
      <c r="K59">
        <v>1</v>
      </c>
      <c r="L59">
        <v>4.7</v>
      </c>
      <c r="M59">
        <v>622811.74</v>
      </c>
      <c r="N59">
        <v>109978.35</v>
      </c>
    </row>
    <row r="60" customFormat="1" spans="1:14">
      <c r="A60" t="s">
        <v>36</v>
      </c>
      <c r="B60" s="188">
        <v>45689</v>
      </c>
      <c r="C60" t="s">
        <v>22</v>
      </c>
      <c r="D60" t="s">
        <v>30</v>
      </c>
      <c r="E60">
        <v>49710.29</v>
      </c>
      <c r="F60">
        <v>5559</v>
      </c>
      <c r="G60">
        <v>0.218</v>
      </c>
      <c r="H60">
        <v>14</v>
      </c>
      <c r="I60">
        <v>71</v>
      </c>
      <c r="J60">
        <v>9.11</v>
      </c>
      <c r="K60">
        <v>0</v>
      </c>
      <c r="L60">
        <v>4.6</v>
      </c>
      <c r="M60">
        <v>603297.57</v>
      </c>
      <c r="N60">
        <v>60592.26</v>
      </c>
    </row>
    <row r="61" customFormat="1" spans="1:14">
      <c r="A61" t="s">
        <v>36</v>
      </c>
      <c r="B61" s="188">
        <v>45717</v>
      </c>
      <c r="C61" t="s">
        <v>22</v>
      </c>
      <c r="D61" t="s">
        <v>30</v>
      </c>
      <c r="E61">
        <v>48287.85</v>
      </c>
      <c r="F61">
        <v>5150</v>
      </c>
      <c r="G61">
        <v>0.008</v>
      </c>
      <c r="H61">
        <v>12</v>
      </c>
      <c r="I61">
        <v>80.4</v>
      </c>
      <c r="J61">
        <v>7.4</v>
      </c>
      <c r="K61">
        <v>0</v>
      </c>
      <c r="L61">
        <v>4.5</v>
      </c>
      <c r="M61">
        <v>625672.86</v>
      </c>
      <c r="N61">
        <v>118020.12</v>
      </c>
    </row>
    <row r="62" customFormat="1" spans="1:14">
      <c r="A62" t="s">
        <v>36</v>
      </c>
      <c r="B62" s="188">
        <v>45748</v>
      </c>
      <c r="C62" t="s">
        <v>22</v>
      </c>
      <c r="D62" t="s">
        <v>30</v>
      </c>
      <c r="E62">
        <v>65312.49</v>
      </c>
      <c r="F62">
        <v>7189</v>
      </c>
      <c r="G62">
        <v>0.05</v>
      </c>
      <c r="H62">
        <v>19</v>
      </c>
      <c r="I62">
        <v>93.7</v>
      </c>
      <c r="J62">
        <v>7.16</v>
      </c>
      <c r="K62">
        <v>0</v>
      </c>
      <c r="L62">
        <v>4.6</v>
      </c>
      <c r="M62">
        <v>773815.14</v>
      </c>
      <c r="N62">
        <v>133948.39</v>
      </c>
    </row>
    <row r="63" customFormat="1" spans="1:14">
      <c r="A63" t="s">
        <v>37</v>
      </c>
      <c r="B63" s="188">
        <v>45658</v>
      </c>
      <c r="C63" t="s">
        <v>29</v>
      </c>
      <c r="D63" t="s">
        <v>20</v>
      </c>
      <c r="E63">
        <v>53015.46</v>
      </c>
      <c r="F63">
        <v>3279</v>
      </c>
      <c r="G63">
        <v>0.087</v>
      </c>
      <c r="H63">
        <v>9</v>
      </c>
      <c r="I63">
        <v>84.3</v>
      </c>
      <c r="J63">
        <v>22.02</v>
      </c>
      <c r="K63">
        <v>0</v>
      </c>
      <c r="L63">
        <v>3.9</v>
      </c>
      <c r="M63">
        <v>463534.25</v>
      </c>
      <c r="N63">
        <v>81834.54</v>
      </c>
    </row>
    <row r="64" customFormat="1" spans="1:14">
      <c r="A64" t="s">
        <v>37</v>
      </c>
      <c r="B64" s="188">
        <v>45689</v>
      </c>
      <c r="C64" t="s">
        <v>29</v>
      </c>
      <c r="D64" t="s">
        <v>20</v>
      </c>
      <c r="E64">
        <v>99874.01</v>
      </c>
      <c r="F64">
        <v>5887</v>
      </c>
      <c r="G64">
        <v>0.262</v>
      </c>
      <c r="H64">
        <v>14</v>
      </c>
      <c r="I64">
        <v>88.7</v>
      </c>
      <c r="J64">
        <v>6.18</v>
      </c>
      <c r="K64">
        <v>0</v>
      </c>
      <c r="L64">
        <v>4.7</v>
      </c>
      <c r="M64">
        <v>746677.75</v>
      </c>
      <c r="N64">
        <v>122437.84</v>
      </c>
    </row>
    <row r="65" customFormat="1" spans="1:14">
      <c r="A65" t="s">
        <v>37</v>
      </c>
      <c r="B65" s="188">
        <v>45717</v>
      </c>
      <c r="C65" t="s">
        <v>29</v>
      </c>
      <c r="D65" t="s">
        <v>20</v>
      </c>
      <c r="E65">
        <v>81195.5</v>
      </c>
      <c r="F65">
        <v>5516</v>
      </c>
      <c r="G65">
        <v>0.106</v>
      </c>
      <c r="H65">
        <v>14</v>
      </c>
      <c r="I65">
        <v>88</v>
      </c>
      <c r="J65">
        <v>1.76</v>
      </c>
      <c r="K65">
        <v>0</v>
      </c>
      <c r="L65">
        <v>4.3</v>
      </c>
      <c r="M65">
        <v>720852.5</v>
      </c>
      <c r="N65">
        <v>98565.62</v>
      </c>
    </row>
    <row r="66" customFormat="1" spans="1:14">
      <c r="A66" t="s">
        <v>37</v>
      </c>
      <c r="B66" s="188">
        <v>45748</v>
      </c>
      <c r="C66" t="s">
        <v>29</v>
      </c>
      <c r="D66" t="s">
        <v>20</v>
      </c>
      <c r="E66">
        <v>27808.6</v>
      </c>
      <c r="F66">
        <v>2863</v>
      </c>
      <c r="G66">
        <v>0.08</v>
      </c>
      <c r="H66">
        <v>13</v>
      </c>
      <c r="I66">
        <v>89.3</v>
      </c>
      <c r="J66">
        <v>0.47</v>
      </c>
      <c r="K66">
        <v>0</v>
      </c>
      <c r="L66">
        <v>4.1</v>
      </c>
      <c r="M66">
        <v>487464.91</v>
      </c>
      <c r="N66">
        <v>64562.26</v>
      </c>
    </row>
    <row r="67" customFormat="1" spans="1:14">
      <c r="A67" t="s">
        <v>38</v>
      </c>
      <c r="B67" s="188">
        <v>45658</v>
      </c>
      <c r="C67" t="s">
        <v>17</v>
      </c>
      <c r="D67" t="s">
        <v>23</v>
      </c>
      <c r="E67">
        <v>19365.06</v>
      </c>
      <c r="F67">
        <v>2378</v>
      </c>
      <c r="G67">
        <v>0</v>
      </c>
      <c r="H67">
        <v>12</v>
      </c>
      <c r="I67">
        <v>94.8</v>
      </c>
      <c r="J67">
        <v>0.2</v>
      </c>
      <c r="K67">
        <v>0</v>
      </c>
      <c r="L67">
        <v>3.5</v>
      </c>
      <c r="M67">
        <v>518049.26</v>
      </c>
      <c r="N67">
        <v>108592.49</v>
      </c>
    </row>
    <row r="68" customFormat="1" spans="1:14">
      <c r="A68" t="s">
        <v>38</v>
      </c>
      <c r="B68" s="188">
        <v>45689</v>
      </c>
      <c r="C68" t="s">
        <v>17</v>
      </c>
      <c r="D68" t="s">
        <v>23</v>
      </c>
      <c r="E68">
        <v>59405.68</v>
      </c>
      <c r="F68">
        <v>2515</v>
      </c>
      <c r="G68">
        <v>0.039</v>
      </c>
      <c r="H68">
        <v>12</v>
      </c>
      <c r="I68">
        <v>76</v>
      </c>
      <c r="J68">
        <v>5.11</v>
      </c>
      <c r="K68">
        <v>0</v>
      </c>
      <c r="L68">
        <v>3.7</v>
      </c>
      <c r="M68">
        <v>500298.48</v>
      </c>
      <c r="N68">
        <v>73461.32</v>
      </c>
    </row>
    <row r="69" customFormat="1" spans="1:14">
      <c r="A69" t="s">
        <v>38</v>
      </c>
      <c r="B69" s="188">
        <v>45717</v>
      </c>
      <c r="C69" t="s">
        <v>17</v>
      </c>
      <c r="D69" t="s">
        <v>23</v>
      </c>
      <c r="E69">
        <v>118910.48</v>
      </c>
      <c r="F69">
        <v>4022</v>
      </c>
      <c r="G69">
        <v>0.137</v>
      </c>
      <c r="H69">
        <v>11</v>
      </c>
      <c r="I69">
        <v>87.1</v>
      </c>
      <c r="J69">
        <v>0.2</v>
      </c>
      <c r="K69">
        <v>0</v>
      </c>
      <c r="L69">
        <v>3.1</v>
      </c>
      <c r="M69">
        <v>617291.15</v>
      </c>
      <c r="N69">
        <v>117782</v>
      </c>
    </row>
    <row r="70" customFormat="1" spans="1:14">
      <c r="A70" t="s">
        <v>38</v>
      </c>
      <c r="B70" s="188">
        <v>45748</v>
      </c>
      <c r="C70" t="s">
        <v>17</v>
      </c>
      <c r="D70" t="s">
        <v>23</v>
      </c>
      <c r="E70">
        <v>52952.12</v>
      </c>
      <c r="F70">
        <v>4377</v>
      </c>
      <c r="G70">
        <v>0.092</v>
      </c>
      <c r="H70">
        <v>14</v>
      </c>
      <c r="I70">
        <v>88.6</v>
      </c>
      <c r="J70">
        <v>13.59</v>
      </c>
      <c r="K70">
        <v>0</v>
      </c>
      <c r="L70">
        <v>3.1</v>
      </c>
      <c r="M70">
        <v>553756.43</v>
      </c>
      <c r="N70">
        <v>86166.77</v>
      </c>
    </row>
    <row r="71" customFormat="1" spans="1:14">
      <c r="A71" t="s">
        <v>39</v>
      </c>
      <c r="B71" s="188">
        <v>45658</v>
      </c>
      <c r="C71" t="s">
        <v>26</v>
      </c>
      <c r="D71" t="s">
        <v>20</v>
      </c>
      <c r="E71">
        <v>74907.98</v>
      </c>
      <c r="F71">
        <v>5306</v>
      </c>
      <c r="G71">
        <v>0.062</v>
      </c>
      <c r="H71">
        <v>16</v>
      </c>
      <c r="I71">
        <v>95.6</v>
      </c>
      <c r="J71">
        <v>1.02</v>
      </c>
      <c r="K71">
        <v>0</v>
      </c>
      <c r="L71">
        <v>3.7</v>
      </c>
      <c r="M71">
        <v>749559.71</v>
      </c>
      <c r="N71">
        <v>144522.53</v>
      </c>
    </row>
    <row r="72" customFormat="1" spans="1:14">
      <c r="A72" t="s">
        <v>39</v>
      </c>
      <c r="B72" s="188">
        <v>45689</v>
      </c>
      <c r="C72" t="s">
        <v>26</v>
      </c>
      <c r="D72" t="s">
        <v>20</v>
      </c>
      <c r="E72">
        <v>37284.66</v>
      </c>
      <c r="F72">
        <v>3928</v>
      </c>
      <c r="G72">
        <v>0.074</v>
      </c>
      <c r="H72">
        <v>12</v>
      </c>
      <c r="I72">
        <v>86.5</v>
      </c>
      <c r="J72">
        <v>1.64</v>
      </c>
      <c r="K72">
        <v>0</v>
      </c>
      <c r="L72">
        <v>3.8</v>
      </c>
      <c r="M72">
        <v>615966.48</v>
      </c>
      <c r="N72">
        <v>91509.38</v>
      </c>
    </row>
    <row r="73" customFormat="1" spans="1:14">
      <c r="A73" t="s">
        <v>39</v>
      </c>
      <c r="B73" s="188">
        <v>45717</v>
      </c>
      <c r="C73" t="s">
        <v>26</v>
      </c>
      <c r="D73" t="s">
        <v>20</v>
      </c>
      <c r="E73">
        <v>50343.19</v>
      </c>
      <c r="F73">
        <v>3845</v>
      </c>
      <c r="G73">
        <v>0.113</v>
      </c>
      <c r="H73">
        <v>9</v>
      </c>
      <c r="I73">
        <v>88.7</v>
      </c>
      <c r="J73">
        <v>5.15</v>
      </c>
      <c r="K73">
        <v>0</v>
      </c>
      <c r="L73">
        <v>3.3</v>
      </c>
      <c r="M73">
        <v>572011.2</v>
      </c>
      <c r="N73">
        <v>101409.68</v>
      </c>
    </row>
    <row r="74" customFormat="1" spans="1:14">
      <c r="A74" t="s">
        <v>39</v>
      </c>
      <c r="B74" s="188">
        <v>45748</v>
      </c>
      <c r="C74" t="s">
        <v>26</v>
      </c>
      <c r="D74" t="s">
        <v>20</v>
      </c>
      <c r="E74">
        <v>74954.47</v>
      </c>
      <c r="F74">
        <v>6620</v>
      </c>
      <c r="G74">
        <v>0.054</v>
      </c>
      <c r="H74">
        <v>17</v>
      </c>
      <c r="I74">
        <v>91.1</v>
      </c>
      <c r="J74">
        <v>1.11</v>
      </c>
      <c r="K74">
        <v>0</v>
      </c>
      <c r="L74">
        <v>3.5</v>
      </c>
      <c r="M74">
        <v>761860.19</v>
      </c>
      <c r="N74">
        <v>133279.38</v>
      </c>
    </row>
    <row r="75" customFormat="1" spans="1:14">
      <c r="A75" t="s">
        <v>40</v>
      </c>
      <c r="B75" s="188">
        <v>45658</v>
      </c>
      <c r="C75" t="s">
        <v>29</v>
      </c>
      <c r="D75" t="s">
        <v>20</v>
      </c>
      <c r="E75">
        <v>70040.31</v>
      </c>
      <c r="F75">
        <v>9175</v>
      </c>
      <c r="G75">
        <v>0.107</v>
      </c>
      <c r="H75">
        <v>23</v>
      </c>
      <c r="I75">
        <v>95.1</v>
      </c>
      <c r="J75">
        <v>6.08</v>
      </c>
      <c r="K75">
        <v>1</v>
      </c>
      <c r="L75">
        <v>3.4</v>
      </c>
      <c r="M75">
        <v>784502.68</v>
      </c>
      <c r="N75">
        <v>129519.72</v>
      </c>
    </row>
    <row r="76" customFormat="1" spans="1:14">
      <c r="A76" t="s">
        <v>40</v>
      </c>
      <c r="B76" s="188">
        <v>45689</v>
      </c>
      <c r="C76" t="s">
        <v>29</v>
      </c>
      <c r="D76" t="s">
        <v>20</v>
      </c>
      <c r="E76">
        <v>51148.69</v>
      </c>
      <c r="F76">
        <v>7940</v>
      </c>
      <c r="G76">
        <v>0.156</v>
      </c>
      <c r="H76">
        <v>18</v>
      </c>
      <c r="I76">
        <v>93.3</v>
      </c>
      <c r="J76">
        <v>10.91</v>
      </c>
      <c r="K76">
        <v>0</v>
      </c>
      <c r="L76">
        <v>3.6</v>
      </c>
      <c r="M76">
        <v>717141.55</v>
      </c>
      <c r="N76">
        <v>134013.61</v>
      </c>
    </row>
    <row r="77" customFormat="1" spans="1:14">
      <c r="A77" t="s">
        <v>40</v>
      </c>
      <c r="B77" s="188">
        <v>45717</v>
      </c>
      <c r="C77" t="s">
        <v>29</v>
      </c>
      <c r="D77" t="s">
        <v>20</v>
      </c>
      <c r="E77">
        <v>79346.1</v>
      </c>
      <c r="F77">
        <v>9628</v>
      </c>
      <c r="G77">
        <v>0.102</v>
      </c>
      <c r="H77">
        <v>20</v>
      </c>
      <c r="I77">
        <v>99</v>
      </c>
      <c r="J77">
        <v>19.01</v>
      </c>
      <c r="K77">
        <v>1</v>
      </c>
      <c r="L77">
        <v>3.2</v>
      </c>
      <c r="M77">
        <v>685379.08</v>
      </c>
      <c r="N77">
        <v>106898.82</v>
      </c>
    </row>
    <row r="78" customFormat="1" spans="1:14">
      <c r="A78" t="s">
        <v>40</v>
      </c>
      <c r="B78" s="188">
        <v>45748</v>
      </c>
      <c r="C78" t="s">
        <v>29</v>
      </c>
      <c r="D78" t="s">
        <v>20</v>
      </c>
      <c r="E78">
        <v>42018.4</v>
      </c>
      <c r="F78">
        <v>8296</v>
      </c>
      <c r="G78">
        <v>0.115</v>
      </c>
      <c r="H78">
        <v>17</v>
      </c>
      <c r="I78">
        <v>91.8</v>
      </c>
      <c r="J78">
        <v>0.77</v>
      </c>
      <c r="K78">
        <v>0</v>
      </c>
      <c r="L78">
        <v>3.4</v>
      </c>
      <c r="M78">
        <v>740496.65</v>
      </c>
      <c r="N78">
        <v>128020.9</v>
      </c>
    </row>
    <row r="79" customFormat="1" spans="1:14">
      <c r="A79" t="s">
        <v>41</v>
      </c>
      <c r="B79" s="188">
        <v>45658</v>
      </c>
      <c r="C79" t="s">
        <v>17</v>
      </c>
      <c r="D79" t="s">
        <v>20</v>
      </c>
      <c r="E79">
        <v>70937.24</v>
      </c>
      <c r="F79">
        <v>3595</v>
      </c>
      <c r="G79">
        <v>0.141</v>
      </c>
      <c r="H79">
        <v>11</v>
      </c>
      <c r="I79">
        <v>88.9</v>
      </c>
      <c r="J79">
        <v>2.83</v>
      </c>
      <c r="K79">
        <v>1</v>
      </c>
      <c r="L79">
        <v>3.3</v>
      </c>
      <c r="M79">
        <v>661927.14</v>
      </c>
      <c r="N79">
        <v>79218.57</v>
      </c>
    </row>
    <row r="80" customFormat="1" spans="1:14">
      <c r="A80" t="s">
        <v>41</v>
      </c>
      <c r="B80" s="188">
        <v>45689</v>
      </c>
      <c r="C80" t="s">
        <v>17</v>
      </c>
      <c r="D80" t="s">
        <v>20</v>
      </c>
      <c r="E80">
        <v>36813.45</v>
      </c>
      <c r="F80">
        <v>2834</v>
      </c>
      <c r="G80">
        <v>0.191</v>
      </c>
      <c r="H80">
        <v>11</v>
      </c>
      <c r="I80">
        <v>81.8</v>
      </c>
      <c r="J80">
        <v>2.33</v>
      </c>
      <c r="K80">
        <v>0</v>
      </c>
      <c r="L80">
        <v>3.3</v>
      </c>
      <c r="M80">
        <v>479050.5</v>
      </c>
      <c r="N80">
        <v>53651.11</v>
      </c>
    </row>
    <row r="81" customFormat="1" spans="1:14">
      <c r="A81" t="s">
        <v>41</v>
      </c>
      <c r="B81" s="188">
        <v>45717</v>
      </c>
      <c r="C81" t="s">
        <v>17</v>
      </c>
      <c r="D81" t="s">
        <v>20</v>
      </c>
      <c r="E81">
        <v>60571.82</v>
      </c>
      <c r="F81">
        <v>3193</v>
      </c>
      <c r="G81">
        <v>0.197</v>
      </c>
      <c r="H81">
        <v>7</v>
      </c>
      <c r="I81">
        <v>99</v>
      </c>
      <c r="J81">
        <v>1.43</v>
      </c>
      <c r="K81">
        <v>0</v>
      </c>
      <c r="L81">
        <v>3.2</v>
      </c>
      <c r="M81">
        <v>605023.87</v>
      </c>
      <c r="N81">
        <v>98545.81</v>
      </c>
    </row>
    <row r="82" customFormat="1" spans="1:14">
      <c r="A82" t="s">
        <v>41</v>
      </c>
      <c r="B82" s="188">
        <v>45748</v>
      </c>
      <c r="C82" t="s">
        <v>17</v>
      </c>
      <c r="D82" t="s">
        <v>20</v>
      </c>
      <c r="E82">
        <v>55081.16</v>
      </c>
      <c r="F82">
        <v>5485</v>
      </c>
      <c r="G82">
        <v>0.036</v>
      </c>
      <c r="H82">
        <v>12</v>
      </c>
      <c r="I82">
        <v>88</v>
      </c>
      <c r="J82">
        <v>4.47</v>
      </c>
      <c r="K82">
        <v>0</v>
      </c>
      <c r="L82">
        <v>3.5</v>
      </c>
      <c r="M82">
        <v>674774.09</v>
      </c>
      <c r="N82">
        <v>141917.59</v>
      </c>
    </row>
    <row r="83" customFormat="1" spans="1:14">
      <c r="A83" t="s">
        <v>42</v>
      </c>
      <c r="B83" s="188">
        <v>45658</v>
      </c>
      <c r="C83" t="s">
        <v>17</v>
      </c>
      <c r="D83" t="s">
        <v>18</v>
      </c>
      <c r="E83">
        <v>46201.46</v>
      </c>
      <c r="F83">
        <v>5918</v>
      </c>
      <c r="G83">
        <v>0.277</v>
      </c>
      <c r="H83">
        <v>13</v>
      </c>
      <c r="I83">
        <v>78.8</v>
      </c>
      <c r="J83">
        <v>4.91</v>
      </c>
      <c r="K83">
        <v>0</v>
      </c>
      <c r="L83">
        <v>4.5</v>
      </c>
      <c r="M83">
        <v>616069.41</v>
      </c>
      <c r="N83">
        <v>54453.99</v>
      </c>
    </row>
    <row r="84" customFormat="1" spans="1:14">
      <c r="A84" t="s">
        <v>42</v>
      </c>
      <c r="B84" s="188">
        <v>45689</v>
      </c>
      <c r="C84" t="s">
        <v>17</v>
      </c>
      <c r="D84" t="s">
        <v>18</v>
      </c>
      <c r="E84">
        <v>53762.92</v>
      </c>
      <c r="F84">
        <v>6821</v>
      </c>
      <c r="G84">
        <v>0.066</v>
      </c>
      <c r="H84">
        <v>19</v>
      </c>
      <c r="I84">
        <v>94.6</v>
      </c>
      <c r="J84">
        <v>7.03</v>
      </c>
      <c r="K84">
        <v>0</v>
      </c>
      <c r="L84">
        <v>4.4</v>
      </c>
      <c r="M84">
        <v>630829.94</v>
      </c>
      <c r="N84">
        <v>117090.02</v>
      </c>
    </row>
    <row r="85" customFormat="1" spans="1:14">
      <c r="A85" t="s">
        <v>42</v>
      </c>
      <c r="B85" s="188">
        <v>45717</v>
      </c>
      <c r="C85" t="s">
        <v>17</v>
      </c>
      <c r="D85" t="s">
        <v>18</v>
      </c>
      <c r="E85">
        <v>70144.78</v>
      </c>
      <c r="F85">
        <v>6806</v>
      </c>
      <c r="G85">
        <v>0.178</v>
      </c>
      <c r="H85">
        <v>20</v>
      </c>
      <c r="I85">
        <v>93.1</v>
      </c>
      <c r="J85">
        <v>0.28</v>
      </c>
      <c r="K85">
        <v>1</v>
      </c>
      <c r="L85">
        <v>4.3</v>
      </c>
      <c r="M85">
        <v>788087.68</v>
      </c>
      <c r="N85">
        <v>116803.42</v>
      </c>
    </row>
    <row r="86" customFormat="1" spans="1:14">
      <c r="A86" t="s">
        <v>42</v>
      </c>
      <c r="B86" s="188">
        <v>45748</v>
      </c>
      <c r="C86" t="s">
        <v>17</v>
      </c>
      <c r="D86" t="s">
        <v>18</v>
      </c>
      <c r="E86">
        <v>58749.63</v>
      </c>
      <c r="F86">
        <v>8252</v>
      </c>
      <c r="G86">
        <v>0.203</v>
      </c>
      <c r="H86">
        <v>20</v>
      </c>
      <c r="I86">
        <v>85.2</v>
      </c>
      <c r="J86">
        <v>3.61</v>
      </c>
      <c r="K86">
        <v>0</v>
      </c>
      <c r="L86">
        <v>4.5</v>
      </c>
      <c r="M86">
        <v>680840.36</v>
      </c>
      <c r="N86">
        <v>68007.68</v>
      </c>
    </row>
    <row r="87" customFormat="1" spans="1:14">
      <c r="A87" t="s">
        <v>43</v>
      </c>
      <c r="B87" s="188">
        <v>45658</v>
      </c>
      <c r="C87" t="s">
        <v>26</v>
      </c>
      <c r="D87" t="s">
        <v>20</v>
      </c>
      <c r="E87">
        <v>56973.18</v>
      </c>
      <c r="F87">
        <v>6662</v>
      </c>
      <c r="G87">
        <v>0.1</v>
      </c>
      <c r="H87">
        <v>15</v>
      </c>
      <c r="I87">
        <v>77.7</v>
      </c>
      <c r="J87">
        <v>7.52</v>
      </c>
      <c r="K87">
        <v>1</v>
      </c>
      <c r="L87">
        <v>3.2</v>
      </c>
      <c r="M87">
        <v>643657.47</v>
      </c>
      <c r="N87">
        <v>87022.45</v>
      </c>
    </row>
    <row r="88" customFormat="1" spans="1:14">
      <c r="A88" t="s">
        <v>43</v>
      </c>
      <c r="B88" s="188">
        <v>45689</v>
      </c>
      <c r="C88" t="s">
        <v>26</v>
      </c>
      <c r="D88" t="s">
        <v>20</v>
      </c>
      <c r="E88">
        <v>54872.82</v>
      </c>
      <c r="F88">
        <v>5962</v>
      </c>
      <c r="G88">
        <v>0.064</v>
      </c>
      <c r="H88">
        <v>12</v>
      </c>
      <c r="I88">
        <v>85.4</v>
      </c>
      <c r="J88">
        <v>2.58</v>
      </c>
      <c r="K88">
        <v>0</v>
      </c>
      <c r="L88">
        <v>2.9</v>
      </c>
      <c r="M88">
        <v>691112.6</v>
      </c>
      <c r="N88">
        <v>109212.83</v>
      </c>
    </row>
    <row r="89" customFormat="1" spans="1:14">
      <c r="A89" t="s">
        <v>43</v>
      </c>
      <c r="B89" s="188">
        <v>45717</v>
      </c>
      <c r="C89" t="s">
        <v>26</v>
      </c>
      <c r="D89" t="s">
        <v>20</v>
      </c>
      <c r="E89">
        <v>80562.81</v>
      </c>
      <c r="F89">
        <v>7470</v>
      </c>
      <c r="G89">
        <v>0.172</v>
      </c>
      <c r="H89">
        <v>16</v>
      </c>
      <c r="I89">
        <v>83.5</v>
      </c>
      <c r="J89">
        <v>2.29</v>
      </c>
      <c r="K89">
        <v>0</v>
      </c>
      <c r="L89">
        <v>3.3</v>
      </c>
      <c r="M89">
        <v>776922.17</v>
      </c>
      <c r="N89">
        <v>150701.93</v>
      </c>
    </row>
    <row r="90" customFormat="1" spans="1:14">
      <c r="A90" t="s">
        <v>43</v>
      </c>
      <c r="B90" s="188">
        <v>45748</v>
      </c>
      <c r="C90" t="s">
        <v>26</v>
      </c>
      <c r="D90" t="s">
        <v>20</v>
      </c>
      <c r="E90">
        <v>77999.9</v>
      </c>
      <c r="F90">
        <v>5974</v>
      </c>
      <c r="G90">
        <v>0.252</v>
      </c>
      <c r="H90">
        <v>14</v>
      </c>
      <c r="I90">
        <v>81.3</v>
      </c>
      <c r="J90">
        <v>2.39</v>
      </c>
      <c r="K90">
        <v>0</v>
      </c>
      <c r="L90">
        <v>3.2</v>
      </c>
      <c r="M90">
        <v>636561.34</v>
      </c>
      <c r="N90">
        <v>93861.06</v>
      </c>
    </row>
    <row r="91" customFormat="1" spans="1:14">
      <c r="A91" t="s">
        <v>44</v>
      </c>
      <c r="B91" s="188">
        <v>45658</v>
      </c>
      <c r="C91" t="s">
        <v>29</v>
      </c>
      <c r="D91" t="s">
        <v>30</v>
      </c>
      <c r="E91">
        <v>60881.01</v>
      </c>
      <c r="F91">
        <v>5410</v>
      </c>
      <c r="G91">
        <v>0.179</v>
      </c>
      <c r="H91">
        <v>15</v>
      </c>
      <c r="I91">
        <v>83.9</v>
      </c>
      <c r="J91">
        <v>5.24</v>
      </c>
      <c r="K91">
        <v>0</v>
      </c>
      <c r="L91">
        <v>4.6</v>
      </c>
      <c r="M91">
        <v>621369.58</v>
      </c>
      <c r="N91">
        <v>85493.64</v>
      </c>
    </row>
    <row r="92" customFormat="1" spans="1:14">
      <c r="A92" t="s">
        <v>44</v>
      </c>
      <c r="B92" s="188">
        <v>45689</v>
      </c>
      <c r="C92" t="s">
        <v>29</v>
      </c>
      <c r="D92" t="s">
        <v>30</v>
      </c>
      <c r="E92">
        <v>60628.38</v>
      </c>
      <c r="F92">
        <v>4451</v>
      </c>
      <c r="G92">
        <v>0.095</v>
      </c>
      <c r="H92">
        <v>10</v>
      </c>
      <c r="I92">
        <v>89.6</v>
      </c>
      <c r="J92">
        <v>3.17</v>
      </c>
      <c r="K92">
        <v>0</v>
      </c>
      <c r="L92">
        <v>4.6</v>
      </c>
      <c r="M92">
        <v>682208.01</v>
      </c>
      <c r="N92">
        <v>110318.84</v>
      </c>
    </row>
    <row r="93" customFormat="1" spans="1:14">
      <c r="A93" t="s">
        <v>44</v>
      </c>
      <c r="B93" s="188">
        <v>45717</v>
      </c>
      <c r="C93" t="s">
        <v>29</v>
      </c>
      <c r="D93" t="s">
        <v>30</v>
      </c>
      <c r="E93">
        <v>72731.14</v>
      </c>
      <c r="F93">
        <v>4644</v>
      </c>
      <c r="G93">
        <v>0.084</v>
      </c>
      <c r="H93">
        <v>15</v>
      </c>
      <c r="I93">
        <v>87.1</v>
      </c>
      <c r="J93">
        <v>2.66</v>
      </c>
      <c r="K93">
        <v>0</v>
      </c>
      <c r="L93">
        <v>4.6</v>
      </c>
      <c r="M93">
        <v>727241.86</v>
      </c>
      <c r="N93">
        <v>155810.3</v>
      </c>
    </row>
    <row r="94" customFormat="1" spans="1:14">
      <c r="A94" t="s">
        <v>44</v>
      </c>
      <c r="B94" s="188">
        <v>45748</v>
      </c>
      <c r="C94" t="s">
        <v>29</v>
      </c>
      <c r="D94" t="s">
        <v>30</v>
      </c>
      <c r="E94">
        <v>36475.71</v>
      </c>
      <c r="F94">
        <v>3559</v>
      </c>
      <c r="G94">
        <v>0.03</v>
      </c>
      <c r="H94">
        <v>8</v>
      </c>
      <c r="I94">
        <v>83.6</v>
      </c>
      <c r="J94">
        <v>1.41</v>
      </c>
      <c r="K94">
        <v>0</v>
      </c>
      <c r="L94">
        <v>4.2</v>
      </c>
      <c r="M94">
        <v>569100.78</v>
      </c>
      <c r="N94">
        <v>104808.78</v>
      </c>
    </row>
    <row r="95" customFormat="1" spans="1:14">
      <c r="A95" t="s">
        <v>45</v>
      </c>
      <c r="B95" s="188">
        <v>45658</v>
      </c>
      <c r="C95" t="s">
        <v>29</v>
      </c>
      <c r="D95" t="s">
        <v>20</v>
      </c>
      <c r="E95">
        <v>55388.11</v>
      </c>
      <c r="F95">
        <v>3091</v>
      </c>
      <c r="G95">
        <v>0.108</v>
      </c>
      <c r="H95">
        <v>7</v>
      </c>
      <c r="I95">
        <v>85.4</v>
      </c>
      <c r="J95">
        <v>7.34</v>
      </c>
      <c r="K95">
        <v>0</v>
      </c>
      <c r="L95">
        <v>4.9</v>
      </c>
      <c r="M95">
        <v>574436.29</v>
      </c>
      <c r="N95">
        <v>80271.99</v>
      </c>
    </row>
    <row r="96" customFormat="1" spans="1:14">
      <c r="A96" t="s">
        <v>45</v>
      </c>
      <c r="B96" s="188">
        <v>45689</v>
      </c>
      <c r="C96" t="s">
        <v>29</v>
      </c>
      <c r="D96" t="s">
        <v>20</v>
      </c>
      <c r="E96">
        <v>88443.77</v>
      </c>
      <c r="F96">
        <v>4004</v>
      </c>
      <c r="G96">
        <v>0.206</v>
      </c>
      <c r="H96">
        <v>11</v>
      </c>
      <c r="I96">
        <v>91.9</v>
      </c>
      <c r="J96">
        <v>5.95</v>
      </c>
      <c r="K96">
        <v>0</v>
      </c>
      <c r="L96">
        <v>3.95</v>
      </c>
      <c r="M96">
        <v>611766.72</v>
      </c>
      <c r="N96">
        <v>88275.61</v>
      </c>
    </row>
    <row r="97" customFormat="1" spans="1:14">
      <c r="A97" t="s">
        <v>45</v>
      </c>
      <c r="B97" s="188">
        <v>45717</v>
      </c>
      <c r="C97" t="s">
        <v>29</v>
      </c>
      <c r="D97" t="s">
        <v>20</v>
      </c>
      <c r="E97">
        <v>78231.91</v>
      </c>
      <c r="F97">
        <v>3788</v>
      </c>
      <c r="G97">
        <v>0.059</v>
      </c>
      <c r="H97">
        <v>11</v>
      </c>
      <c r="I97">
        <v>88.5</v>
      </c>
      <c r="J97">
        <v>15.51</v>
      </c>
      <c r="K97">
        <v>0</v>
      </c>
      <c r="L97">
        <v>4.3</v>
      </c>
      <c r="M97">
        <v>614596.32</v>
      </c>
      <c r="N97">
        <v>131199.41</v>
      </c>
    </row>
    <row r="98" customFormat="1" spans="1:14">
      <c r="A98" t="s">
        <v>45</v>
      </c>
      <c r="B98" s="188">
        <v>45748</v>
      </c>
      <c r="C98" t="s">
        <v>29</v>
      </c>
      <c r="D98" t="s">
        <v>20</v>
      </c>
      <c r="E98">
        <v>18996.32</v>
      </c>
      <c r="F98">
        <v>1260</v>
      </c>
      <c r="G98">
        <v>0.145</v>
      </c>
      <c r="H98">
        <v>9</v>
      </c>
      <c r="I98">
        <v>86.4</v>
      </c>
      <c r="J98">
        <v>4.31</v>
      </c>
      <c r="K98">
        <v>0</v>
      </c>
      <c r="L98">
        <v>4.6</v>
      </c>
      <c r="M98">
        <v>450711.92</v>
      </c>
      <c r="N98">
        <v>90043.76</v>
      </c>
    </row>
    <row r="99" customFormat="1" spans="1:14">
      <c r="A99" t="s">
        <v>46</v>
      </c>
      <c r="B99" s="188">
        <v>45658</v>
      </c>
      <c r="C99" t="s">
        <v>26</v>
      </c>
      <c r="D99" t="s">
        <v>30</v>
      </c>
      <c r="E99">
        <v>50517.94</v>
      </c>
      <c r="F99">
        <v>7024</v>
      </c>
      <c r="G99">
        <v>0.029</v>
      </c>
      <c r="H99">
        <v>18</v>
      </c>
      <c r="I99">
        <v>79.2</v>
      </c>
      <c r="J99">
        <v>6.61</v>
      </c>
      <c r="K99">
        <v>1</v>
      </c>
      <c r="L99">
        <v>4.1</v>
      </c>
      <c r="M99">
        <v>711213.46</v>
      </c>
      <c r="N99">
        <v>105863.26</v>
      </c>
    </row>
    <row r="100" customFormat="1" spans="1:14">
      <c r="A100" t="s">
        <v>46</v>
      </c>
      <c r="B100" s="188">
        <v>45689</v>
      </c>
      <c r="C100" t="s">
        <v>26</v>
      </c>
      <c r="D100" t="s">
        <v>30</v>
      </c>
      <c r="E100">
        <v>141540.29</v>
      </c>
      <c r="F100">
        <v>5400</v>
      </c>
      <c r="G100">
        <v>0.013</v>
      </c>
      <c r="H100">
        <v>12</v>
      </c>
      <c r="I100">
        <v>87</v>
      </c>
      <c r="J100">
        <v>4.26</v>
      </c>
      <c r="K100">
        <v>0</v>
      </c>
      <c r="L100">
        <v>4.5</v>
      </c>
      <c r="M100">
        <v>627171.9</v>
      </c>
      <c r="N100">
        <v>105772.75</v>
      </c>
    </row>
    <row r="101" customFormat="1" spans="1:14">
      <c r="A101" t="s">
        <v>46</v>
      </c>
      <c r="B101" s="188">
        <v>45717</v>
      </c>
      <c r="C101" t="s">
        <v>26</v>
      </c>
      <c r="D101" t="s">
        <v>30</v>
      </c>
      <c r="E101">
        <v>82116.19</v>
      </c>
      <c r="F101">
        <v>5988</v>
      </c>
      <c r="G101">
        <v>0.04</v>
      </c>
      <c r="H101">
        <v>17</v>
      </c>
      <c r="I101">
        <v>91.8</v>
      </c>
      <c r="J101">
        <v>5.75</v>
      </c>
      <c r="K101">
        <v>0</v>
      </c>
      <c r="L101">
        <v>4.7</v>
      </c>
      <c r="M101">
        <v>739852.58</v>
      </c>
      <c r="N101">
        <v>129386.43</v>
      </c>
    </row>
    <row r="102" customFormat="1" spans="1:14">
      <c r="A102" t="s">
        <v>46</v>
      </c>
      <c r="B102" s="188">
        <v>45748</v>
      </c>
      <c r="C102" t="s">
        <v>26</v>
      </c>
      <c r="D102" t="s">
        <v>30</v>
      </c>
      <c r="E102">
        <v>31207.51</v>
      </c>
      <c r="F102">
        <v>3701</v>
      </c>
      <c r="G102">
        <v>0.043</v>
      </c>
      <c r="H102">
        <v>11</v>
      </c>
      <c r="I102">
        <v>84.7</v>
      </c>
      <c r="J102">
        <v>0.33</v>
      </c>
      <c r="K102">
        <v>0</v>
      </c>
      <c r="L102">
        <v>4.3</v>
      </c>
      <c r="M102">
        <v>586307.22</v>
      </c>
      <c r="N102">
        <v>73927.85</v>
      </c>
    </row>
    <row r="103" customFormat="1" spans="1:14">
      <c r="A103" t="s">
        <v>47</v>
      </c>
      <c r="B103" s="188">
        <v>45658</v>
      </c>
      <c r="C103" t="s">
        <v>29</v>
      </c>
      <c r="D103" t="s">
        <v>18</v>
      </c>
      <c r="E103">
        <v>38966.59</v>
      </c>
      <c r="F103">
        <v>4509</v>
      </c>
      <c r="G103">
        <v>0.194</v>
      </c>
      <c r="H103">
        <v>14</v>
      </c>
      <c r="I103">
        <v>91.1</v>
      </c>
      <c r="J103">
        <v>2.92</v>
      </c>
      <c r="K103">
        <v>0</v>
      </c>
      <c r="L103">
        <v>4.6</v>
      </c>
      <c r="M103">
        <v>585937.48</v>
      </c>
      <c r="N103">
        <v>82624.2</v>
      </c>
    </row>
    <row r="104" customFormat="1" spans="1:14">
      <c r="A104" t="s">
        <v>47</v>
      </c>
      <c r="B104" s="188">
        <v>45689</v>
      </c>
      <c r="C104" t="s">
        <v>29</v>
      </c>
      <c r="D104" t="s">
        <v>18</v>
      </c>
      <c r="E104">
        <v>67439.3</v>
      </c>
      <c r="F104">
        <v>6477</v>
      </c>
      <c r="G104">
        <v>0</v>
      </c>
      <c r="H104">
        <v>16</v>
      </c>
      <c r="I104">
        <v>90.9</v>
      </c>
      <c r="J104">
        <v>1.64</v>
      </c>
      <c r="K104">
        <v>0</v>
      </c>
      <c r="L104">
        <v>4.5</v>
      </c>
      <c r="M104">
        <v>753473.55</v>
      </c>
      <c r="N104">
        <v>151527.22</v>
      </c>
    </row>
    <row r="105" customFormat="1" spans="1:14">
      <c r="A105" t="s">
        <v>47</v>
      </c>
      <c r="B105" s="188">
        <v>45717</v>
      </c>
      <c r="C105" t="s">
        <v>29</v>
      </c>
      <c r="D105" t="s">
        <v>18</v>
      </c>
      <c r="E105">
        <v>86421.88</v>
      </c>
      <c r="F105">
        <v>7970</v>
      </c>
      <c r="G105">
        <v>0.073</v>
      </c>
      <c r="H105">
        <v>17</v>
      </c>
      <c r="I105">
        <v>91.3</v>
      </c>
      <c r="J105">
        <v>0.8</v>
      </c>
      <c r="K105">
        <v>0</v>
      </c>
      <c r="L105">
        <v>5</v>
      </c>
      <c r="M105">
        <v>838250.32</v>
      </c>
      <c r="N105">
        <v>122939.34</v>
      </c>
    </row>
    <row r="106" customFormat="1" spans="1:14">
      <c r="A106" t="s">
        <v>47</v>
      </c>
      <c r="B106" s="188">
        <v>45748</v>
      </c>
      <c r="C106" t="s">
        <v>29</v>
      </c>
      <c r="D106" t="s">
        <v>18</v>
      </c>
      <c r="E106">
        <v>9534.65</v>
      </c>
      <c r="F106">
        <v>6057</v>
      </c>
      <c r="G106">
        <v>0.074</v>
      </c>
      <c r="H106">
        <v>15</v>
      </c>
      <c r="I106">
        <v>94.1</v>
      </c>
      <c r="J106">
        <v>5.79</v>
      </c>
      <c r="K106">
        <v>0</v>
      </c>
      <c r="L106">
        <v>4.5</v>
      </c>
      <c r="M106">
        <v>607898.12</v>
      </c>
      <c r="N106">
        <v>135404.85</v>
      </c>
    </row>
    <row r="107" customFormat="1" spans="1:14">
      <c r="A107" t="s">
        <v>48</v>
      </c>
      <c r="B107" s="188">
        <v>45658</v>
      </c>
      <c r="C107" t="s">
        <v>29</v>
      </c>
      <c r="D107" t="s">
        <v>30</v>
      </c>
      <c r="E107">
        <v>61132.07</v>
      </c>
      <c r="F107">
        <v>6394</v>
      </c>
      <c r="G107">
        <v>0.163</v>
      </c>
      <c r="H107">
        <v>19</v>
      </c>
      <c r="I107">
        <v>91</v>
      </c>
      <c r="J107">
        <v>19.6</v>
      </c>
      <c r="K107">
        <v>0</v>
      </c>
      <c r="L107">
        <v>4.4</v>
      </c>
      <c r="M107">
        <v>691113.62</v>
      </c>
      <c r="N107">
        <v>135145.44</v>
      </c>
    </row>
    <row r="108" customFormat="1" spans="1:14">
      <c r="A108" t="s">
        <v>48</v>
      </c>
      <c r="B108" s="188">
        <v>45689</v>
      </c>
      <c r="C108" t="s">
        <v>29</v>
      </c>
      <c r="D108" t="s">
        <v>30</v>
      </c>
      <c r="E108">
        <v>78839.39</v>
      </c>
      <c r="F108">
        <v>5150</v>
      </c>
      <c r="G108">
        <v>0.171</v>
      </c>
      <c r="H108">
        <v>13</v>
      </c>
      <c r="I108">
        <v>85.8</v>
      </c>
      <c r="J108">
        <v>7.57</v>
      </c>
      <c r="K108">
        <v>0</v>
      </c>
      <c r="L108">
        <v>4.3</v>
      </c>
      <c r="M108">
        <v>735509.4</v>
      </c>
      <c r="N108">
        <v>83895.96</v>
      </c>
    </row>
    <row r="109" customFormat="1" spans="1:14">
      <c r="A109" t="s">
        <v>48</v>
      </c>
      <c r="B109" s="188">
        <v>45717</v>
      </c>
      <c r="C109" t="s">
        <v>29</v>
      </c>
      <c r="D109" t="s">
        <v>30</v>
      </c>
      <c r="E109">
        <v>38752.8</v>
      </c>
      <c r="F109">
        <v>4712</v>
      </c>
      <c r="G109">
        <v>0.075</v>
      </c>
      <c r="H109">
        <v>15</v>
      </c>
      <c r="I109">
        <v>89.7</v>
      </c>
      <c r="J109">
        <v>4.47</v>
      </c>
      <c r="K109">
        <v>0</v>
      </c>
      <c r="L109">
        <v>4.3</v>
      </c>
      <c r="M109">
        <v>605775.33</v>
      </c>
      <c r="N109">
        <v>107194.6</v>
      </c>
    </row>
    <row r="110" customFormat="1" spans="1:14">
      <c r="A110" t="s">
        <v>48</v>
      </c>
      <c r="B110" s="188">
        <v>45748</v>
      </c>
      <c r="C110" t="s">
        <v>29</v>
      </c>
      <c r="D110" t="s">
        <v>30</v>
      </c>
      <c r="E110">
        <v>55101.1</v>
      </c>
      <c r="F110">
        <v>5281</v>
      </c>
      <c r="G110">
        <v>0.189</v>
      </c>
      <c r="H110">
        <v>11</v>
      </c>
      <c r="I110">
        <v>91</v>
      </c>
      <c r="J110">
        <v>2.7</v>
      </c>
      <c r="K110">
        <v>0</v>
      </c>
      <c r="L110">
        <v>4.4</v>
      </c>
      <c r="M110">
        <v>675177.68</v>
      </c>
      <c r="N110">
        <v>105628.68</v>
      </c>
    </row>
    <row r="111" customFormat="1" spans="1:14">
      <c r="A111" t="s">
        <v>49</v>
      </c>
      <c r="B111" s="188">
        <v>45658</v>
      </c>
      <c r="C111" t="s">
        <v>17</v>
      </c>
      <c r="D111" t="s">
        <v>30</v>
      </c>
      <c r="E111">
        <v>53084.76</v>
      </c>
      <c r="F111">
        <v>3642</v>
      </c>
      <c r="G111">
        <v>0.15</v>
      </c>
      <c r="H111">
        <v>12</v>
      </c>
      <c r="I111">
        <v>91.4</v>
      </c>
      <c r="J111">
        <v>0.2</v>
      </c>
      <c r="K111">
        <v>0</v>
      </c>
      <c r="L111">
        <v>4.4</v>
      </c>
      <c r="M111">
        <v>635181.35</v>
      </c>
      <c r="N111">
        <v>83341.25</v>
      </c>
    </row>
    <row r="112" customFormat="1" spans="1:14">
      <c r="A112" t="s">
        <v>49</v>
      </c>
      <c r="B112" s="188">
        <v>45689</v>
      </c>
      <c r="C112" t="s">
        <v>17</v>
      </c>
      <c r="D112" t="s">
        <v>30</v>
      </c>
      <c r="E112">
        <v>63101.59</v>
      </c>
      <c r="F112">
        <v>4373</v>
      </c>
      <c r="G112">
        <v>0.173</v>
      </c>
      <c r="H112">
        <v>14</v>
      </c>
      <c r="I112">
        <v>90.4</v>
      </c>
      <c r="J112">
        <v>7.87</v>
      </c>
      <c r="K112">
        <v>0</v>
      </c>
      <c r="L112">
        <v>4.7</v>
      </c>
      <c r="M112">
        <v>586626.94</v>
      </c>
      <c r="N112">
        <v>86498.55</v>
      </c>
    </row>
    <row r="113" customFormat="1" spans="1:14">
      <c r="A113" t="s">
        <v>49</v>
      </c>
      <c r="B113" s="188">
        <v>45717</v>
      </c>
      <c r="C113" t="s">
        <v>17</v>
      </c>
      <c r="D113" t="s">
        <v>30</v>
      </c>
      <c r="E113">
        <v>90084.4</v>
      </c>
      <c r="F113">
        <v>6832</v>
      </c>
      <c r="G113">
        <v>0.185</v>
      </c>
      <c r="H113">
        <v>14</v>
      </c>
      <c r="I113">
        <v>80.5</v>
      </c>
      <c r="J113">
        <v>0.77</v>
      </c>
      <c r="K113">
        <v>1</v>
      </c>
      <c r="L113">
        <v>4.4</v>
      </c>
      <c r="M113">
        <v>740102.64</v>
      </c>
      <c r="N113">
        <v>114299.07</v>
      </c>
    </row>
    <row r="114" customFormat="1" spans="1:14">
      <c r="A114" t="s">
        <v>49</v>
      </c>
      <c r="B114" s="188">
        <v>45748</v>
      </c>
      <c r="C114" t="s">
        <v>17</v>
      </c>
      <c r="D114" t="s">
        <v>30</v>
      </c>
      <c r="E114">
        <v>32266.64</v>
      </c>
      <c r="F114">
        <v>2414</v>
      </c>
      <c r="G114">
        <v>0.08</v>
      </c>
      <c r="H114">
        <v>7</v>
      </c>
      <c r="I114">
        <v>92.1</v>
      </c>
      <c r="J114">
        <v>1.48</v>
      </c>
      <c r="K114">
        <v>0</v>
      </c>
      <c r="L114">
        <v>5</v>
      </c>
      <c r="M114">
        <v>625514.04</v>
      </c>
      <c r="N114">
        <v>120685.08</v>
      </c>
    </row>
    <row r="115" customFormat="1" spans="1:14">
      <c r="A115" t="s">
        <v>50</v>
      </c>
      <c r="B115" s="188">
        <v>45658</v>
      </c>
      <c r="C115" t="s">
        <v>29</v>
      </c>
      <c r="D115" t="s">
        <v>20</v>
      </c>
      <c r="E115">
        <v>57919.07</v>
      </c>
      <c r="F115">
        <v>7374</v>
      </c>
      <c r="G115">
        <v>0.103</v>
      </c>
      <c r="H115">
        <v>21</v>
      </c>
      <c r="I115">
        <v>82.3</v>
      </c>
      <c r="J115">
        <v>2.87</v>
      </c>
      <c r="K115">
        <v>0</v>
      </c>
      <c r="L115">
        <v>2.9</v>
      </c>
      <c r="M115">
        <v>727227.2</v>
      </c>
      <c r="N115">
        <v>121292.01</v>
      </c>
    </row>
    <row r="116" customFormat="1" spans="1:14">
      <c r="A116" t="s">
        <v>50</v>
      </c>
      <c r="B116" s="188">
        <v>45689</v>
      </c>
      <c r="C116" t="s">
        <v>29</v>
      </c>
      <c r="D116" t="s">
        <v>20</v>
      </c>
      <c r="E116">
        <v>74679.35</v>
      </c>
      <c r="F116">
        <v>8739</v>
      </c>
      <c r="G116">
        <v>0.056</v>
      </c>
      <c r="H116">
        <v>21</v>
      </c>
      <c r="I116">
        <v>91.8</v>
      </c>
      <c r="J116">
        <v>2.83</v>
      </c>
      <c r="K116">
        <v>0</v>
      </c>
      <c r="L116">
        <v>3</v>
      </c>
      <c r="M116">
        <v>783797.89</v>
      </c>
      <c r="N116">
        <v>157620.7</v>
      </c>
    </row>
    <row r="117" customFormat="1" spans="1:14">
      <c r="A117" t="s">
        <v>50</v>
      </c>
      <c r="B117" s="188">
        <v>45717</v>
      </c>
      <c r="C117" t="s">
        <v>29</v>
      </c>
      <c r="D117" t="s">
        <v>20</v>
      </c>
      <c r="E117">
        <v>64294.23</v>
      </c>
      <c r="F117">
        <v>6992</v>
      </c>
      <c r="G117">
        <v>0.133</v>
      </c>
      <c r="H117">
        <v>14</v>
      </c>
      <c r="I117">
        <v>94.1</v>
      </c>
      <c r="J117">
        <v>0.25</v>
      </c>
      <c r="K117">
        <v>0</v>
      </c>
      <c r="L117">
        <v>3</v>
      </c>
      <c r="M117">
        <v>795153.84</v>
      </c>
      <c r="N117">
        <v>143194.21</v>
      </c>
    </row>
    <row r="118" customFormat="1" spans="1:14">
      <c r="A118" t="s">
        <v>50</v>
      </c>
      <c r="B118" s="188">
        <v>45748</v>
      </c>
      <c r="C118" t="s">
        <v>29</v>
      </c>
      <c r="D118" t="s">
        <v>20</v>
      </c>
      <c r="E118">
        <v>31042.03</v>
      </c>
      <c r="F118">
        <v>7107</v>
      </c>
      <c r="G118">
        <v>0.051</v>
      </c>
      <c r="H118">
        <v>15</v>
      </c>
      <c r="I118">
        <v>87</v>
      </c>
      <c r="J118">
        <v>13.33</v>
      </c>
      <c r="K118">
        <v>0</v>
      </c>
      <c r="L118">
        <v>3.2</v>
      </c>
      <c r="M118">
        <v>665594.94</v>
      </c>
      <c r="N118">
        <v>127597.34</v>
      </c>
    </row>
    <row r="119" customFormat="1" spans="1:14">
      <c r="A119" t="s">
        <v>51</v>
      </c>
      <c r="B119" s="188">
        <v>45658</v>
      </c>
      <c r="C119" t="s">
        <v>17</v>
      </c>
      <c r="D119" t="s">
        <v>30</v>
      </c>
      <c r="E119">
        <v>75265.02</v>
      </c>
      <c r="F119">
        <v>6975</v>
      </c>
      <c r="G119">
        <v>0.157</v>
      </c>
      <c r="H119">
        <v>20</v>
      </c>
      <c r="I119">
        <v>73.8</v>
      </c>
      <c r="J119">
        <v>6.35</v>
      </c>
      <c r="K119">
        <v>1</v>
      </c>
      <c r="L119">
        <v>3.8</v>
      </c>
      <c r="M119">
        <v>709478.39</v>
      </c>
      <c r="N119">
        <v>71294.27</v>
      </c>
    </row>
    <row r="120" customFormat="1" spans="1:14">
      <c r="A120" t="s">
        <v>51</v>
      </c>
      <c r="B120" s="188">
        <v>45689</v>
      </c>
      <c r="C120" t="s">
        <v>17</v>
      </c>
      <c r="D120" t="s">
        <v>30</v>
      </c>
      <c r="E120">
        <v>69411.7</v>
      </c>
      <c r="F120">
        <v>5493</v>
      </c>
      <c r="G120">
        <v>0.292</v>
      </c>
      <c r="H120">
        <v>13</v>
      </c>
      <c r="I120">
        <v>86.5</v>
      </c>
      <c r="J120">
        <v>6.69</v>
      </c>
      <c r="K120">
        <v>0</v>
      </c>
      <c r="L120">
        <v>3.8</v>
      </c>
      <c r="M120">
        <v>664162.49</v>
      </c>
      <c r="N120">
        <v>98291.06</v>
      </c>
    </row>
    <row r="121" customFormat="1" spans="1:14">
      <c r="A121" t="s">
        <v>51</v>
      </c>
      <c r="B121" s="188">
        <v>45717</v>
      </c>
      <c r="C121" t="s">
        <v>17</v>
      </c>
      <c r="D121" t="s">
        <v>30</v>
      </c>
      <c r="E121">
        <v>51056.15</v>
      </c>
      <c r="F121">
        <v>5686</v>
      </c>
      <c r="G121">
        <v>0.089</v>
      </c>
      <c r="H121">
        <v>13</v>
      </c>
      <c r="I121">
        <v>89.9</v>
      </c>
      <c r="J121">
        <v>1.28</v>
      </c>
      <c r="K121">
        <v>0</v>
      </c>
      <c r="L121">
        <v>4.2</v>
      </c>
      <c r="M121">
        <v>633494.21</v>
      </c>
      <c r="N121">
        <v>105739.47</v>
      </c>
    </row>
    <row r="122" customFormat="1" spans="1:14">
      <c r="A122" t="s">
        <v>51</v>
      </c>
      <c r="B122" s="188">
        <v>45748</v>
      </c>
      <c r="C122" t="s">
        <v>17</v>
      </c>
      <c r="D122" t="s">
        <v>30</v>
      </c>
      <c r="E122">
        <v>52758.01</v>
      </c>
      <c r="F122">
        <v>4063</v>
      </c>
      <c r="G122">
        <v>0.057</v>
      </c>
      <c r="H122">
        <v>12</v>
      </c>
      <c r="I122">
        <v>91.7</v>
      </c>
      <c r="J122">
        <v>0.92</v>
      </c>
      <c r="K122">
        <v>0</v>
      </c>
      <c r="L122">
        <v>3.5</v>
      </c>
      <c r="M122">
        <v>713611.16</v>
      </c>
      <c r="N122">
        <v>129717.18</v>
      </c>
    </row>
    <row r="123" customFormat="1" spans="1:14">
      <c r="A123" t="s">
        <v>52</v>
      </c>
      <c r="B123" s="188">
        <v>45658</v>
      </c>
      <c r="C123" t="s">
        <v>29</v>
      </c>
      <c r="D123" t="s">
        <v>30</v>
      </c>
      <c r="E123">
        <v>61426.04</v>
      </c>
      <c r="F123">
        <v>8966</v>
      </c>
      <c r="G123">
        <v>0.173</v>
      </c>
      <c r="H123">
        <v>22</v>
      </c>
      <c r="I123">
        <v>76.4</v>
      </c>
      <c r="J123">
        <v>1.05</v>
      </c>
      <c r="K123">
        <v>0</v>
      </c>
      <c r="L123">
        <v>3.1</v>
      </c>
      <c r="M123">
        <v>778397.97</v>
      </c>
      <c r="N123">
        <v>120044.41</v>
      </c>
    </row>
    <row r="124" customFormat="1" spans="1:14">
      <c r="A124" t="s">
        <v>52</v>
      </c>
      <c r="B124" s="188">
        <v>45689</v>
      </c>
      <c r="C124" t="s">
        <v>29</v>
      </c>
      <c r="D124" t="s">
        <v>30</v>
      </c>
      <c r="E124">
        <v>80176.34</v>
      </c>
      <c r="F124">
        <v>9489</v>
      </c>
      <c r="G124">
        <v>0.142</v>
      </c>
      <c r="H124">
        <v>22</v>
      </c>
      <c r="I124">
        <v>94.3</v>
      </c>
      <c r="J124">
        <v>2.67</v>
      </c>
      <c r="K124">
        <v>0</v>
      </c>
      <c r="L124">
        <v>3.5</v>
      </c>
      <c r="M124">
        <v>873380.02</v>
      </c>
      <c r="N124">
        <v>149734.76</v>
      </c>
    </row>
    <row r="125" customFormat="1" spans="1:14">
      <c r="A125" t="s">
        <v>52</v>
      </c>
      <c r="B125" s="188">
        <v>45717</v>
      </c>
      <c r="C125" t="s">
        <v>29</v>
      </c>
      <c r="D125" t="s">
        <v>30</v>
      </c>
      <c r="E125">
        <v>33605.18</v>
      </c>
      <c r="F125">
        <v>9225</v>
      </c>
      <c r="G125">
        <v>0.159</v>
      </c>
      <c r="H125">
        <v>23</v>
      </c>
      <c r="I125">
        <v>88.4</v>
      </c>
      <c r="J125">
        <v>5.91</v>
      </c>
      <c r="K125">
        <v>0</v>
      </c>
      <c r="L125">
        <v>2.8</v>
      </c>
      <c r="M125">
        <v>697287.9</v>
      </c>
      <c r="N125">
        <v>128208.33</v>
      </c>
    </row>
    <row r="126" customFormat="1" spans="1:14">
      <c r="A126" t="s">
        <v>52</v>
      </c>
      <c r="B126" s="188">
        <v>45748</v>
      </c>
      <c r="C126" t="s">
        <v>29</v>
      </c>
      <c r="D126" t="s">
        <v>30</v>
      </c>
      <c r="E126">
        <v>25990.54</v>
      </c>
      <c r="F126">
        <v>9249</v>
      </c>
      <c r="G126">
        <v>0.139</v>
      </c>
      <c r="H126">
        <v>23</v>
      </c>
      <c r="I126">
        <v>92.5</v>
      </c>
      <c r="J126">
        <v>6.37</v>
      </c>
      <c r="K126">
        <v>0</v>
      </c>
      <c r="L126">
        <v>3.3</v>
      </c>
      <c r="M126">
        <v>718074.79</v>
      </c>
      <c r="N126">
        <v>115819.87</v>
      </c>
    </row>
    <row r="127" customFormat="1" spans="1:14">
      <c r="A127" t="s">
        <v>53</v>
      </c>
      <c r="B127" s="188">
        <v>45658</v>
      </c>
      <c r="C127" t="s">
        <v>29</v>
      </c>
      <c r="D127" t="s">
        <v>18</v>
      </c>
      <c r="E127">
        <v>43685.14</v>
      </c>
      <c r="F127">
        <v>7821</v>
      </c>
      <c r="G127">
        <v>0.19</v>
      </c>
      <c r="H127">
        <v>17</v>
      </c>
      <c r="I127">
        <v>91</v>
      </c>
      <c r="J127">
        <v>2.49</v>
      </c>
      <c r="K127">
        <v>1</v>
      </c>
      <c r="L127">
        <v>4.7</v>
      </c>
      <c r="M127">
        <v>714942.43</v>
      </c>
      <c r="N127">
        <v>94697.71</v>
      </c>
    </row>
    <row r="128" customFormat="1" spans="1:14">
      <c r="A128" t="s">
        <v>53</v>
      </c>
      <c r="B128" s="188">
        <v>45689</v>
      </c>
      <c r="C128" t="s">
        <v>29</v>
      </c>
      <c r="D128" t="s">
        <v>18</v>
      </c>
      <c r="E128">
        <v>57360.01</v>
      </c>
      <c r="F128">
        <v>8434</v>
      </c>
      <c r="G128">
        <v>0.151</v>
      </c>
      <c r="H128">
        <v>19</v>
      </c>
      <c r="I128">
        <v>84.1</v>
      </c>
      <c r="J128">
        <v>1.56</v>
      </c>
      <c r="K128">
        <v>0</v>
      </c>
      <c r="L128">
        <v>4.7</v>
      </c>
      <c r="M128">
        <v>820519.04</v>
      </c>
      <c r="N128">
        <v>99035.88</v>
      </c>
    </row>
    <row r="129" customFormat="1" spans="1:14">
      <c r="A129" t="s">
        <v>53</v>
      </c>
      <c r="B129" s="188">
        <v>45717</v>
      </c>
      <c r="C129" t="s">
        <v>29</v>
      </c>
      <c r="D129" t="s">
        <v>18</v>
      </c>
      <c r="E129">
        <v>42415.47</v>
      </c>
      <c r="F129">
        <v>8512</v>
      </c>
      <c r="G129">
        <v>0.133</v>
      </c>
      <c r="H129">
        <v>18</v>
      </c>
      <c r="I129">
        <v>96.8</v>
      </c>
      <c r="J129">
        <v>14.95</v>
      </c>
      <c r="K129">
        <v>0</v>
      </c>
      <c r="L129">
        <v>4.6</v>
      </c>
      <c r="M129">
        <v>684217.32</v>
      </c>
      <c r="N129">
        <v>136217.19</v>
      </c>
    </row>
    <row r="130" customFormat="1" spans="1:14">
      <c r="A130" t="s">
        <v>53</v>
      </c>
      <c r="B130" s="188">
        <v>45748</v>
      </c>
      <c r="C130" t="s">
        <v>29</v>
      </c>
      <c r="D130" t="s">
        <v>18</v>
      </c>
      <c r="E130">
        <v>54968.98</v>
      </c>
      <c r="F130">
        <v>7816</v>
      </c>
      <c r="G130">
        <v>0.232</v>
      </c>
      <c r="H130">
        <v>19</v>
      </c>
      <c r="I130">
        <v>95.7</v>
      </c>
      <c r="J130">
        <v>7.85</v>
      </c>
      <c r="K130">
        <v>0</v>
      </c>
      <c r="L130">
        <v>4.7</v>
      </c>
      <c r="M130">
        <v>735480.19</v>
      </c>
      <c r="N130">
        <v>88342.11</v>
      </c>
    </row>
    <row r="131" customFormat="1" spans="1:14">
      <c r="A131" t="s">
        <v>54</v>
      </c>
      <c r="B131" s="188">
        <v>45658</v>
      </c>
      <c r="C131" t="s">
        <v>22</v>
      </c>
      <c r="D131" t="s">
        <v>20</v>
      </c>
      <c r="E131">
        <v>43896.13</v>
      </c>
      <c r="F131">
        <v>3853</v>
      </c>
      <c r="G131">
        <v>0.088</v>
      </c>
      <c r="H131">
        <v>13</v>
      </c>
      <c r="I131">
        <v>83</v>
      </c>
      <c r="J131">
        <v>6.8</v>
      </c>
      <c r="K131">
        <v>0</v>
      </c>
      <c r="L131">
        <v>4.4</v>
      </c>
      <c r="M131">
        <v>509484.81</v>
      </c>
      <c r="N131">
        <v>85742.36</v>
      </c>
    </row>
    <row r="132" customFormat="1" spans="1:14">
      <c r="A132" t="s">
        <v>54</v>
      </c>
      <c r="B132" s="188">
        <v>45689</v>
      </c>
      <c r="C132" t="s">
        <v>22</v>
      </c>
      <c r="D132" t="s">
        <v>20</v>
      </c>
      <c r="E132">
        <v>83044.17</v>
      </c>
      <c r="F132">
        <v>3694</v>
      </c>
      <c r="G132">
        <v>0</v>
      </c>
      <c r="H132">
        <v>14</v>
      </c>
      <c r="I132">
        <v>89.4</v>
      </c>
      <c r="J132">
        <v>2.2</v>
      </c>
      <c r="K132">
        <v>0</v>
      </c>
      <c r="L132">
        <v>3.7</v>
      </c>
      <c r="M132">
        <v>654317.09</v>
      </c>
      <c r="N132">
        <v>121446.89</v>
      </c>
    </row>
    <row r="133" customFormat="1" spans="1:14">
      <c r="A133" t="s">
        <v>54</v>
      </c>
      <c r="B133" s="188">
        <v>45717</v>
      </c>
      <c r="C133" t="s">
        <v>22</v>
      </c>
      <c r="D133" t="s">
        <v>20</v>
      </c>
      <c r="E133">
        <v>48396.13</v>
      </c>
      <c r="F133">
        <v>4423</v>
      </c>
      <c r="G133">
        <v>0.069</v>
      </c>
      <c r="H133">
        <v>15</v>
      </c>
      <c r="I133">
        <v>85.7</v>
      </c>
      <c r="J133">
        <v>1.88</v>
      </c>
      <c r="K133">
        <v>0</v>
      </c>
      <c r="L133">
        <v>3.9</v>
      </c>
      <c r="M133">
        <v>557487.26</v>
      </c>
      <c r="N133">
        <v>76432.19</v>
      </c>
    </row>
    <row r="134" customFormat="1" spans="1:14">
      <c r="A134" t="s">
        <v>54</v>
      </c>
      <c r="B134" s="188">
        <v>45748</v>
      </c>
      <c r="C134" t="s">
        <v>22</v>
      </c>
      <c r="D134" t="s">
        <v>20</v>
      </c>
      <c r="E134">
        <v>19063.48</v>
      </c>
      <c r="F134">
        <v>1906</v>
      </c>
      <c r="G134">
        <v>0.216</v>
      </c>
      <c r="H134">
        <v>10</v>
      </c>
      <c r="I134">
        <v>97.8</v>
      </c>
      <c r="J134">
        <v>15.79</v>
      </c>
      <c r="K134">
        <v>0</v>
      </c>
      <c r="L134">
        <v>4.4</v>
      </c>
      <c r="M134">
        <v>441275.42</v>
      </c>
      <c r="N134">
        <v>58234.87</v>
      </c>
    </row>
    <row r="135" customFormat="1" spans="1:14">
      <c r="A135" t="s">
        <v>55</v>
      </c>
      <c r="B135" s="188">
        <v>45658</v>
      </c>
      <c r="C135" t="s">
        <v>26</v>
      </c>
      <c r="D135" t="s">
        <v>20</v>
      </c>
      <c r="E135">
        <v>61541.21</v>
      </c>
      <c r="F135">
        <v>10396</v>
      </c>
      <c r="G135">
        <v>0.123</v>
      </c>
      <c r="H135">
        <v>25</v>
      </c>
      <c r="I135">
        <v>88.1</v>
      </c>
      <c r="J135">
        <v>2.34</v>
      </c>
      <c r="K135">
        <v>1</v>
      </c>
      <c r="L135">
        <v>4.8</v>
      </c>
      <c r="M135">
        <v>914544.17</v>
      </c>
      <c r="N135">
        <v>79831.73</v>
      </c>
    </row>
    <row r="136" customFormat="1" spans="1:14">
      <c r="A136" t="s">
        <v>55</v>
      </c>
      <c r="B136" s="188">
        <v>45689</v>
      </c>
      <c r="C136" t="s">
        <v>26</v>
      </c>
      <c r="D136" t="s">
        <v>20</v>
      </c>
      <c r="E136">
        <v>44747</v>
      </c>
      <c r="F136">
        <v>11076</v>
      </c>
      <c r="G136">
        <v>0.176</v>
      </c>
      <c r="H136">
        <v>27</v>
      </c>
      <c r="I136">
        <v>98.3</v>
      </c>
      <c r="J136">
        <v>0.54</v>
      </c>
      <c r="K136">
        <v>0</v>
      </c>
      <c r="L136">
        <v>4.4</v>
      </c>
      <c r="M136">
        <v>842439.67</v>
      </c>
      <c r="N136">
        <v>169983.63</v>
      </c>
    </row>
    <row r="137" customFormat="1" spans="1:14">
      <c r="A137" t="s">
        <v>55</v>
      </c>
      <c r="B137" s="188">
        <v>45717</v>
      </c>
      <c r="C137" t="s">
        <v>26</v>
      </c>
      <c r="D137" t="s">
        <v>20</v>
      </c>
      <c r="E137">
        <v>56517.9</v>
      </c>
      <c r="F137">
        <v>9574</v>
      </c>
      <c r="G137">
        <v>0.204</v>
      </c>
      <c r="H137">
        <v>20</v>
      </c>
      <c r="I137">
        <v>88.2</v>
      </c>
      <c r="J137">
        <v>5.37</v>
      </c>
      <c r="K137">
        <v>1</v>
      </c>
      <c r="L137">
        <v>4.9</v>
      </c>
      <c r="M137">
        <v>842157.92</v>
      </c>
      <c r="N137">
        <v>107348.22</v>
      </c>
    </row>
    <row r="138" customFormat="1" spans="1:14">
      <c r="A138" t="s">
        <v>55</v>
      </c>
      <c r="B138" s="188">
        <v>45748</v>
      </c>
      <c r="C138" t="s">
        <v>26</v>
      </c>
      <c r="D138" t="s">
        <v>20</v>
      </c>
      <c r="E138">
        <v>37828.5</v>
      </c>
      <c r="F138">
        <v>8221</v>
      </c>
      <c r="G138">
        <v>0.096</v>
      </c>
      <c r="H138">
        <v>19</v>
      </c>
      <c r="I138">
        <v>81.5</v>
      </c>
      <c r="J138">
        <v>3.19</v>
      </c>
      <c r="K138">
        <v>0</v>
      </c>
      <c r="L138">
        <v>4.8</v>
      </c>
      <c r="M138">
        <v>697155.3</v>
      </c>
      <c r="N138">
        <v>136408.54</v>
      </c>
    </row>
    <row r="139" customFormat="1" spans="1:14">
      <c r="A139" t="s">
        <v>56</v>
      </c>
      <c r="B139" s="188">
        <v>45658</v>
      </c>
      <c r="C139" t="s">
        <v>17</v>
      </c>
      <c r="D139" t="s">
        <v>20</v>
      </c>
      <c r="E139">
        <v>66250.53</v>
      </c>
      <c r="F139">
        <v>10618</v>
      </c>
      <c r="G139">
        <v>0.142</v>
      </c>
      <c r="H139">
        <v>27</v>
      </c>
      <c r="I139">
        <v>88.3</v>
      </c>
      <c r="J139">
        <v>1.1</v>
      </c>
      <c r="K139">
        <v>1</v>
      </c>
      <c r="L139">
        <v>4.4</v>
      </c>
      <c r="M139">
        <v>849018.3</v>
      </c>
      <c r="N139">
        <v>149035.13</v>
      </c>
    </row>
    <row r="140" customFormat="1" spans="1:14">
      <c r="A140" t="s">
        <v>56</v>
      </c>
      <c r="B140" s="188">
        <v>45689</v>
      </c>
      <c r="C140" t="s">
        <v>17</v>
      </c>
      <c r="D140" t="s">
        <v>20</v>
      </c>
      <c r="E140">
        <v>68410.93</v>
      </c>
      <c r="F140">
        <v>10596</v>
      </c>
      <c r="G140">
        <v>0.207</v>
      </c>
      <c r="H140">
        <v>25</v>
      </c>
      <c r="I140">
        <v>81.2</v>
      </c>
      <c r="J140">
        <v>0.21</v>
      </c>
      <c r="K140">
        <v>0</v>
      </c>
      <c r="L140">
        <v>4</v>
      </c>
      <c r="M140">
        <v>801830.35</v>
      </c>
      <c r="N140">
        <v>114875.32</v>
      </c>
    </row>
    <row r="141" customFormat="1" spans="1:14">
      <c r="A141" t="s">
        <v>56</v>
      </c>
      <c r="B141" s="188">
        <v>45717</v>
      </c>
      <c r="C141" t="s">
        <v>17</v>
      </c>
      <c r="D141" t="s">
        <v>20</v>
      </c>
      <c r="E141">
        <v>50735.63</v>
      </c>
      <c r="F141">
        <v>9619</v>
      </c>
      <c r="G141">
        <v>0.144</v>
      </c>
      <c r="H141">
        <v>19</v>
      </c>
      <c r="I141">
        <v>93.8</v>
      </c>
      <c r="J141">
        <v>5.12</v>
      </c>
      <c r="K141">
        <v>1</v>
      </c>
      <c r="L141">
        <v>4.5</v>
      </c>
      <c r="M141">
        <v>725235.28</v>
      </c>
      <c r="N141">
        <v>121632.24</v>
      </c>
    </row>
    <row r="142" customFormat="1" spans="1:14">
      <c r="A142" t="s">
        <v>56</v>
      </c>
      <c r="B142" s="188">
        <v>45748</v>
      </c>
      <c r="C142" t="s">
        <v>17</v>
      </c>
      <c r="D142" t="s">
        <v>20</v>
      </c>
      <c r="E142">
        <v>66455.8</v>
      </c>
      <c r="F142">
        <v>10836</v>
      </c>
      <c r="G142">
        <v>0.089</v>
      </c>
      <c r="H142">
        <v>25</v>
      </c>
      <c r="I142">
        <v>85</v>
      </c>
      <c r="J142">
        <v>9.77</v>
      </c>
      <c r="K142">
        <v>0</v>
      </c>
      <c r="L142">
        <v>4.5</v>
      </c>
      <c r="M142">
        <v>811452.72</v>
      </c>
      <c r="N142">
        <v>131325.67</v>
      </c>
    </row>
    <row r="143" customFormat="1" spans="1:14">
      <c r="A143" t="s">
        <v>57</v>
      </c>
      <c r="B143" s="188">
        <v>45658</v>
      </c>
      <c r="C143" t="s">
        <v>22</v>
      </c>
      <c r="D143" t="s">
        <v>20</v>
      </c>
      <c r="E143">
        <v>70276.28</v>
      </c>
      <c r="F143">
        <v>3043</v>
      </c>
      <c r="G143">
        <v>0.079</v>
      </c>
      <c r="H143">
        <v>9</v>
      </c>
      <c r="I143">
        <v>87.9</v>
      </c>
      <c r="J143">
        <v>3.77</v>
      </c>
      <c r="K143">
        <v>0</v>
      </c>
      <c r="L143">
        <v>4.4</v>
      </c>
      <c r="M143">
        <v>527300.13</v>
      </c>
      <c r="N143">
        <v>84197.87</v>
      </c>
    </row>
    <row r="144" customFormat="1" spans="1:14">
      <c r="A144" t="s">
        <v>57</v>
      </c>
      <c r="B144" s="188">
        <v>45689</v>
      </c>
      <c r="C144" t="s">
        <v>22</v>
      </c>
      <c r="D144" t="s">
        <v>20</v>
      </c>
      <c r="E144">
        <v>22071.64</v>
      </c>
      <c r="F144">
        <v>1814</v>
      </c>
      <c r="G144">
        <v>0.196</v>
      </c>
      <c r="H144">
        <v>8</v>
      </c>
      <c r="I144">
        <v>81.1</v>
      </c>
      <c r="J144">
        <v>0.78</v>
      </c>
      <c r="K144">
        <v>0</v>
      </c>
      <c r="L144">
        <v>3.95</v>
      </c>
      <c r="M144">
        <v>400831.65</v>
      </c>
      <c r="N144">
        <v>70979.31</v>
      </c>
    </row>
    <row r="145" customFormat="1" spans="1:14">
      <c r="A145" t="s">
        <v>57</v>
      </c>
      <c r="B145" s="188">
        <v>45717</v>
      </c>
      <c r="C145" t="s">
        <v>22</v>
      </c>
      <c r="D145" t="s">
        <v>20</v>
      </c>
      <c r="E145">
        <v>52285.45</v>
      </c>
      <c r="F145">
        <v>3618</v>
      </c>
      <c r="G145">
        <v>0.086</v>
      </c>
      <c r="H145">
        <v>11</v>
      </c>
      <c r="I145">
        <v>95.6</v>
      </c>
      <c r="J145">
        <v>5.17</v>
      </c>
      <c r="K145">
        <v>1</v>
      </c>
      <c r="L145">
        <v>4.4</v>
      </c>
      <c r="M145">
        <v>593247.25</v>
      </c>
      <c r="N145">
        <v>81240.29</v>
      </c>
    </row>
    <row r="146" customFormat="1" spans="1:14">
      <c r="A146" t="s">
        <v>57</v>
      </c>
      <c r="B146" s="188">
        <v>45748</v>
      </c>
      <c r="C146" t="s">
        <v>22</v>
      </c>
      <c r="D146" t="s">
        <v>20</v>
      </c>
      <c r="E146">
        <v>70366.76</v>
      </c>
      <c r="F146">
        <v>1963</v>
      </c>
      <c r="G146">
        <v>0.182</v>
      </c>
      <c r="H146">
        <v>8</v>
      </c>
      <c r="I146">
        <v>89.8</v>
      </c>
      <c r="J146">
        <v>3.2</v>
      </c>
      <c r="K146">
        <v>0</v>
      </c>
      <c r="L146">
        <v>4.6</v>
      </c>
      <c r="M146">
        <v>529075.95</v>
      </c>
      <c r="N146">
        <v>95978.83</v>
      </c>
    </row>
    <row r="147" customFormat="1" spans="1:14">
      <c r="A147" t="s">
        <v>58</v>
      </c>
      <c r="B147" s="188">
        <v>45658</v>
      </c>
      <c r="C147" t="s">
        <v>26</v>
      </c>
      <c r="D147" t="s">
        <v>18</v>
      </c>
      <c r="E147">
        <v>71320.66</v>
      </c>
      <c r="F147">
        <v>7888</v>
      </c>
      <c r="G147">
        <v>0.048</v>
      </c>
      <c r="H147">
        <v>20</v>
      </c>
      <c r="I147">
        <v>78.1</v>
      </c>
      <c r="J147">
        <v>3.4</v>
      </c>
      <c r="K147">
        <v>0</v>
      </c>
      <c r="L147">
        <v>3.95</v>
      </c>
      <c r="M147">
        <v>633638.03</v>
      </c>
      <c r="N147">
        <v>99402.01</v>
      </c>
    </row>
    <row r="148" customFormat="1" spans="1:14">
      <c r="A148" t="s">
        <v>58</v>
      </c>
      <c r="B148" s="188">
        <v>45689</v>
      </c>
      <c r="C148" t="s">
        <v>26</v>
      </c>
      <c r="D148" t="s">
        <v>18</v>
      </c>
      <c r="E148">
        <v>75109.67</v>
      </c>
      <c r="F148">
        <v>6244</v>
      </c>
      <c r="G148">
        <v>0.079</v>
      </c>
      <c r="H148">
        <v>15</v>
      </c>
      <c r="I148">
        <v>96.3</v>
      </c>
      <c r="J148">
        <v>7.38</v>
      </c>
      <c r="K148">
        <v>0</v>
      </c>
      <c r="L148">
        <v>3.7</v>
      </c>
      <c r="M148">
        <v>743348.84</v>
      </c>
      <c r="N148">
        <v>104186.09</v>
      </c>
    </row>
    <row r="149" customFormat="1" spans="1:14">
      <c r="A149" t="s">
        <v>58</v>
      </c>
      <c r="B149" s="188">
        <v>45717</v>
      </c>
      <c r="C149" t="s">
        <v>26</v>
      </c>
      <c r="D149" t="s">
        <v>18</v>
      </c>
      <c r="E149">
        <v>69779</v>
      </c>
      <c r="F149">
        <v>6544</v>
      </c>
      <c r="G149">
        <v>0.152</v>
      </c>
      <c r="H149">
        <v>18</v>
      </c>
      <c r="I149">
        <v>90.2</v>
      </c>
      <c r="J149">
        <v>0.85</v>
      </c>
      <c r="K149">
        <v>1</v>
      </c>
      <c r="L149">
        <v>3.3</v>
      </c>
      <c r="M149">
        <v>758827.64</v>
      </c>
      <c r="N149">
        <v>161439.48</v>
      </c>
    </row>
    <row r="150" customFormat="1" spans="1:14">
      <c r="A150" t="s">
        <v>58</v>
      </c>
      <c r="B150" s="188">
        <v>45748</v>
      </c>
      <c r="C150" t="s">
        <v>26</v>
      </c>
      <c r="D150" t="s">
        <v>18</v>
      </c>
      <c r="E150">
        <v>44211.95</v>
      </c>
      <c r="F150">
        <v>5465</v>
      </c>
      <c r="G150">
        <v>0.187</v>
      </c>
      <c r="H150">
        <v>12</v>
      </c>
      <c r="I150">
        <v>90</v>
      </c>
      <c r="J150">
        <v>2.89</v>
      </c>
      <c r="K150">
        <v>0</v>
      </c>
      <c r="L150">
        <v>3.6</v>
      </c>
      <c r="M150">
        <v>646559.71</v>
      </c>
      <c r="N150">
        <v>97981.75</v>
      </c>
    </row>
    <row r="151" customFormat="1" spans="1:14">
      <c r="A151" t="s">
        <v>59</v>
      </c>
      <c r="B151" s="188">
        <v>45658</v>
      </c>
      <c r="C151" t="s">
        <v>29</v>
      </c>
      <c r="D151" t="s">
        <v>20</v>
      </c>
      <c r="E151">
        <v>51430.31</v>
      </c>
      <c r="F151">
        <v>6427</v>
      </c>
      <c r="G151">
        <v>0.234</v>
      </c>
      <c r="H151">
        <v>14</v>
      </c>
      <c r="I151">
        <v>88.8</v>
      </c>
      <c r="J151">
        <v>0.77</v>
      </c>
      <c r="K151">
        <v>0</v>
      </c>
      <c r="L151">
        <v>4.1</v>
      </c>
      <c r="M151">
        <v>715890.53</v>
      </c>
      <c r="N151">
        <v>109032.15</v>
      </c>
    </row>
    <row r="152" customFormat="1" spans="1:14">
      <c r="A152" t="s">
        <v>59</v>
      </c>
      <c r="B152" s="188">
        <v>45689</v>
      </c>
      <c r="C152" t="s">
        <v>29</v>
      </c>
      <c r="D152" t="s">
        <v>20</v>
      </c>
      <c r="E152">
        <v>45706.49</v>
      </c>
      <c r="F152">
        <v>6704</v>
      </c>
      <c r="G152">
        <v>0.038</v>
      </c>
      <c r="H152">
        <v>15</v>
      </c>
      <c r="I152">
        <v>94.2</v>
      </c>
      <c r="J152">
        <v>2.92</v>
      </c>
      <c r="K152">
        <v>0</v>
      </c>
      <c r="L152">
        <v>4.2</v>
      </c>
      <c r="M152">
        <v>715097.57</v>
      </c>
      <c r="N152">
        <v>151875.86</v>
      </c>
    </row>
    <row r="153" customFormat="1" spans="1:14">
      <c r="A153" t="s">
        <v>59</v>
      </c>
      <c r="B153" s="188">
        <v>45717</v>
      </c>
      <c r="C153" t="s">
        <v>29</v>
      </c>
      <c r="D153" t="s">
        <v>20</v>
      </c>
      <c r="E153">
        <v>44034.6</v>
      </c>
      <c r="F153">
        <v>5645</v>
      </c>
      <c r="G153">
        <v>0.069</v>
      </c>
      <c r="H153">
        <v>18</v>
      </c>
      <c r="I153">
        <v>88.5</v>
      </c>
      <c r="J153">
        <v>3.07</v>
      </c>
      <c r="K153">
        <v>0</v>
      </c>
      <c r="L153">
        <v>3.8</v>
      </c>
      <c r="M153">
        <v>682639.28</v>
      </c>
      <c r="N153">
        <v>77557.53</v>
      </c>
    </row>
    <row r="154" customFormat="1" spans="1:14">
      <c r="A154" t="s">
        <v>59</v>
      </c>
      <c r="B154" s="188">
        <v>45748</v>
      </c>
      <c r="C154" t="s">
        <v>29</v>
      </c>
      <c r="D154" t="s">
        <v>20</v>
      </c>
      <c r="E154">
        <v>50198.12</v>
      </c>
      <c r="F154">
        <v>6089</v>
      </c>
      <c r="G154">
        <v>0.182</v>
      </c>
      <c r="H154">
        <v>19</v>
      </c>
      <c r="I154">
        <v>94</v>
      </c>
      <c r="J154">
        <v>9.7</v>
      </c>
      <c r="K154">
        <v>0</v>
      </c>
      <c r="L154">
        <v>3.9</v>
      </c>
      <c r="M154">
        <v>695098.51</v>
      </c>
      <c r="N154">
        <v>108192.75</v>
      </c>
    </row>
    <row r="155" customFormat="1" spans="1:14">
      <c r="A155" t="s">
        <v>60</v>
      </c>
      <c r="B155" s="188">
        <v>45658</v>
      </c>
      <c r="C155" t="s">
        <v>22</v>
      </c>
      <c r="D155" t="s">
        <v>18</v>
      </c>
      <c r="E155">
        <v>70488.2</v>
      </c>
      <c r="F155">
        <v>4312</v>
      </c>
      <c r="G155">
        <v>0.169</v>
      </c>
      <c r="H155">
        <v>12</v>
      </c>
      <c r="I155">
        <v>90.2</v>
      </c>
      <c r="J155">
        <v>3.71</v>
      </c>
      <c r="K155">
        <v>0</v>
      </c>
      <c r="L155">
        <v>3.2</v>
      </c>
      <c r="M155">
        <v>577732.57</v>
      </c>
      <c r="N155">
        <v>93804.27</v>
      </c>
    </row>
    <row r="156" customFormat="1" spans="1:14">
      <c r="A156" t="s">
        <v>60</v>
      </c>
      <c r="B156" s="188">
        <v>45689</v>
      </c>
      <c r="C156" t="s">
        <v>22</v>
      </c>
      <c r="D156" t="s">
        <v>18</v>
      </c>
      <c r="E156">
        <v>50909.27</v>
      </c>
      <c r="F156">
        <v>3152</v>
      </c>
      <c r="G156">
        <v>0.06</v>
      </c>
      <c r="H156">
        <v>13</v>
      </c>
      <c r="I156">
        <v>93.7</v>
      </c>
      <c r="J156">
        <v>10.79</v>
      </c>
      <c r="K156">
        <v>0</v>
      </c>
      <c r="L156">
        <v>3.5</v>
      </c>
      <c r="M156">
        <v>537058.33</v>
      </c>
      <c r="N156">
        <v>93555.71</v>
      </c>
    </row>
    <row r="157" customFormat="1" spans="1:14">
      <c r="A157" t="s">
        <v>60</v>
      </c>
      <c r="B157" s="188">
        <v>45717</v>
      </c>
      <c r="C157" t="s">
        <v>22</v>
      </c>
      <c r="D157" t="s">
        <v>18</v>
      </c>
      <c r="E157">
        <v>53351.7</v>
      </c>
      <c r="F157">
        <v>4259</v>
      </c>
      <c r="G157">
        <v>0.156</v>
      </c>
      <c r="H157">
        <v>15</v>
      </c>
      <c r="I157">
        <v>93.7</v>
      </c>
      <c r="J157">
        <v>6.03</v>
      </c>
      <c r="K157">
        <v>0</v>
      </c>
      <c r="L157">
        <v>3.4</v>
      </c>
      <c r="M157">
        <v>601568.87</v>
      </c>
      <c r="N157">
        <v>91634.82</v>
      </c>
    </row>
    <row r="158" customFormat="1" spans="1:14">
      <c r="A158" t="s">
        <v>60</v>
      </c>
      <c r="B158" s="188">
        <v>45748</v>
      </c>
      <c r="C158" t="s">
        <v>22</v>
      </c>
      <c r="D158" t="s">
        <v>18</v>
      </c>
      <c r="E158">
        <v>60322.4</v>
      </c>
      <c r="F158">
        <v>3350</v>
      </c>
      <c r="G158">
        <v>0.108</v>
      </c>
      <c r="H158">
        <v>12</v>
      </c>
      <c r="I158">
        <v>89.4</v>
      </c>
      <c r="J158">
        <v>4.92</v>
      </c>
      <c r="K158">
        <v>0</v>
      </c>
      <c r="L158">
        <v>3.4</v>
      </c>
      <c r="M158">
        <v>570964.84</v>
      </c>
      <c r="N158">
        <v>81331.07</v>
      </c>
    </row>
    <row r="159" customFormat="1" spans="1:14">
      <c r="A159" t="s">
        <v>61</v>
      </c>
      <c r="B159" s="188">
        <v>45658</v>
      </c>
      <c r="C159" t="s">
        <v>26</v>
      </c>
      <c r="D159" t="s">
        <v>30</v>
      </c>
      <c r="E159">
        <v>51575.68</v>
      </c>
      <c r="F159">
        <v>5329</v>
      </c>
      <c r="G159">
        <v>0.047</v>
      </c>
      <c r="H159">
        <v>17</v>
      </c>
      <c r="I159">
        <v>88.1</v>
      </c>
      <c r="J159">
        <v>19.78</v>
      </c>
      <c r="K159">
        <v>0</v>
      </c>
      <c r="L159">
        <v>3.8</v>
      </c>
      <c r="M159">
        <v>614024.91</v>
      </c>
      <c r="N159">
        <v>84828.93</v>
      </c>
    </row>
    <row r="160" customFormat="1" spans="1:14">
      <c r="A160" t="s">
        <v>61</v>
      </c>
      <c r="B160" s="188">
        <v>45689</v>
      </c>
      <c r="C160" t="s">
        <v>26</v>
      </c>
      <c r="D160" t="s">
        <v>30</v>
      </c>
      <c r="E160">
        <v>43319.94</v>
      </c>
      <c r="F160">
        <v>6551</v>
      </c>
      <c r="G160">
        <v>0.044</v>
      </c>
      <c r="H160">
        <v>13</v>
      </c>
      <c r="I160">
        <v>99</v>
      </c>
      <c r="J160">
        <v>5.45</v>
      </c>
      <c r="K160">
        <v>0</v>
      </c>
      <c r="L160">
        <v>4.1</v>
      </c>
      <c r="M160">
        <v>712868.35</v>
      </c>
      <c r="N160">
        <v>133650.51</v>
      </c>
    </row>
    <row r="161" customFormat="1" spans="1:14">
      <c r="A161" t="s">
        <v>61</v>
      </c>
      <c r="B161" s="188">
        <v>45717</v>
      </c>
      <c r="C161" t="s">
        <v>26</v>
      </c>
      <c r="D161" t="s">
        <v>30</v>
      </c>
      <c r="E161">
        <v>47093.55</v>
      </c>
      <c r="F161">
        <v>5550</v>
      </c>
      <c r="G161">
        <v>0.1</v>
      </c>
      <c r="H161">
        <v>12</v>
      </c>
      <c r="I161">
        <v>95</v>
      </c>
      <c r="J161">
        <v>2.33</v>
      </c>
      <c r="K161">
        <v>1</v>
      </c>
      <c r="L161">
        <v>3.7</v>
      </c>
      <c r="M161">
        <v>696744.15</v>
      </c>
      <c r="N161">
        <v>152230.09</v>
      </c>
    </row>
    <row r="162" customFormat="1" spans="1:14">
      <c r="A162" t="s">
        <v>61</v>
      </c>
      <c r="B162" s="188">
        <v>45748</v>
      </c>
      <c r="C162" t="s">
        <v>26</v>
      </c>
      <c r="D162" t="s">
        <v>30</v>
      </c>
      <c r="E162">
        <v>71855.09</v>
      </c>
      <c r="F162">
        <v>5911</v>
      </c>
      <c r="G162">
        <v>0.197</v>
      </c>
      <c r="H162">
        <v>15</v>
      </c>
      <c r="I162">
        <v>94.3</v>
      </c>
      <c r="J162">
        <v>3.55</v>
      </c>
      <c r="K162">
        <v>0</v>
      </c>
      <c r="L162">
        <v>4.1</v>
      </c>
      <c r="M162">
        <v>725847.99</v>
      </c>
      <c r="N162">
        <v>122698.73</v>
      </c>
    </row>
    <row r="163" customFormat="1" spans="1:14">
      <c r="A163" t="s">
        <v>62</v>
      </c>
      <c r="B163" s="188">
        <v>45658</v>
      </c>
      <c r="C163" t="s">
        <v>17</v>
      </c>
      <c r="D163" t="s">
        <v>20</v>
      </c>
      <c r="E163">
        <v>75645.23</v>
      </c>
      <c r="F163">
        <v>9674</v>
      </c>
      <c r="G163">
        <v>0.234</v>
      </c>
      <c r="H163">
        <v>21</v>
      </c>
      <c r="I163">
        <v>87.4</v>
      </c>
      <c r="J163">
        <v>0.2</v>
      </c>
      <c r="K163">
        <v>0</v>
      </c>
      <c r="L163">
        <v>4.5</v>
      </c>
      <c r="M163">
        <v>785028.25</v>
      </c>
      <c r="N163">
        <v>110726.44</v>
      </c>
    </row>
    <row r="164" customFormat="1" spans="1:14">
      <c r="A164" t="s">
        <v>62</v>
      </c>
      <c r="B164" s="188">
        <v>45689</v>
      </c>
      <c r="C164" t="s">
        <v>17</v>
      </c>
      <c r="D164" t="s">
        <v>20</v>
      </c>
      <c r="E164">
        <v>64374.75</v>
      </c>
      <c r="F164">
        <v>6740</v>
      </c>
      <c r="G164">
        <v>0.169</v>
      </c>
      <c r="H164">
        <v>18</v>
      </c>
      <c r="I164">
        <v>87</v>
      </c>
      <c r="J164">
        <v>2.09</v>
      </c>
      <c r="K164">
        <v>0</v>
      </c>
      <c r="L164">
        <v>4.2</v>
      </c>
      <c r="M164">
        <v>698492.67</v>
      </c>
      <c r="N164">
        <v>117319.32</v>
      </c>
    </row>
    <row r="165" customFormat="1" spans="1:14">
      <c r="A165" t="s">
        <v>62</v>
      </c>
      <c r="B165" s="188">
        <v>45717</v>
      </c>
      <c r="C165" t="s">
        <v>17</v>
      </c>
      <c r="D165" t="s">
        <v>20</v>
      </c>
      <c r="E165">
        <v>61433.84</v>
      </c>
      <c r="F165">
        <v>7745</v>
      </c>
      <c r="G165">
        <v>0.18</v>
      </c>
      <c r="H165">
        <v>16</v>
      </c>
      <c r="I165">
        <v>90.5</v>
      </c>
      <c r="J165">
        <v>2.26</v>
      </c>
      <c r="K165">
        <v>0</v>
      </c>
      <c r="L165">
        <v>4.2</v>
      </c>
      <c r="M165">
        <v>685830.24</v>
      </c>
      <c r="N165">
        <v>128736.18</v>
      </c>
    </row>
    <row r="166" customFormat="1" spans="1:14">
      <c r="A166" t="s">
        <v>62</v>
      </c>
      <c r="B166" s="188">
        <v>45748</v>
      </c>
      <c r="C166" t="s">
        <v>17</v>
      </c>
      <c r="D166" t="s">
        <v>20</v>
      </c>
      <c r="E166">
        <v>42698.14</v>
      </c>
      <c r="F166">
        <v>7693</v>
      </c>
      <c r="G166">
        <v>0.187</v>
      </c>
      <c r="H166">
        <v>19</v>
      </c>
      <c r="I166">
        <v>90.1</v>
      </c>
      <c r="J166">
        <v>0.44</v>
      </c>
      <c r="K166">
        <v>0</v>
      </c>
      <c r="L166">
        <v>4.4</v>
      </c>
      <c r="M166">
        <v>702318.94</v>
      </c>
      <c r="N166">
        <v>112829.29</v>
      </c>
    </row>
    <row r="167" customFormat="1" spans="1:14">
      <c r="A167" t="s">
        <v>63</v>
      </c>
      <c r="B167" s="188">
        <v>45658</v>
      </c>
      <c r="C167" t="s">
        <v>22</v>
      </c>
      <c r="D167" t="s">
        <v>30</v>
      </c>
      <c r="E167">
        <v>86883.31</v>
      </c>
      <c r="F167">
        <v>6424</v>
      </c>
      <c r="G167">
        <v>0.057</v>
      </c>
      <c r="H167">
        <v>19</v>
      </c>
      <c r="I167">
        <v>85.2</v>
      </c>
      <c r="J167">
        <v>3.08</v>
      </c>
      <c r="K167">
        <v>0</v>
      </c>
      <c r="L167">
        <v>3.9</v>
      </c>
      <c r="M167">
        <v>700078.32</v>
      </c>
      <c r="N167">
        <v>123707.58</v>
      </c>
    </row>
    <row r="168" customFormat="1" spans="1:14">
      <c r="A168" t="s">
        <v>63</v>
      </c>
      <c r="B168" s="188">
        <v>45689</v>
      </c>
      <c r="C168" t="s">
        <v>22</v>
      </c>
      <c r="D168" t="s">
        <v>30</v>
      </c>
      <c r="E168">
        <v>41863.08</v>
      </c>
      <c r="F168">
        <v>5400</v>
      </c>
      <c r="G168">
        <v>0.114</v>
      </c>
      <c r="H168">
        <v>11</v>
      </c>
      <c r="I168">
        <v>91.6</v>
      </c>
      <c r="J168">
        <v>7.99</v>
      </c>
      <c r="K168">
        <v>0</v>
      </c>
      <c r="L168">
        <v>3</v>
      </c>
      <c r="M168">
        <v>602002.32</v>
      </c>
      <c r="N168">
        <v>110453.28</v>
      </c>
    </row>
    <row r="169" customFormat="1" spans="1:14">
      <c r="A169" t="s">
        <v>63</v>
      </c>
      <c r="B169" s="188">
        <v>45717</v>
      </c>
      <c r="C169" t="s">
        <v>22</v>
      </c>
      <c r="D169" t="s">
        <v>30</v>
      </c>
      <c r="E169">
        <v>56918.16</v>
      </c>
      <c r="F169">
        <v>7015</v>
      </c>
      <c r="G169">
        <v>0.158</v>
      </c>
      <c r="H169">
        <v>18</v>
      </c>
      <c r="I169">
        <v>74.2</v>
      </c>
      <c r="J169">
        <v>0.2</v>
      </c>
      <c r="K169">
        <v>0</v>
      </c>
      <c r="L169">
        <v>3.4</v>
      </c>
      <c r="M169">
        <v>724216.07</v>
      </c>
      <c r="N169">
        <v>100627.56</v>
      </c>
    </row>
    <row r="170" customFormat="1" spans="1:14">
      <c r="A170" t="s">
        <v>63</v>
      </c>
      <c r="B170" s="188">
        <v>45748</v>
      </c>
      <c r="C170" t="s">
        <v>22</v>
      </c>
      <c r="D170" t="s">
        <v>30</v>
      </c>
      <c r="E170">
        <v>23254.57</v>
      </c>
      <c r="F170">
        <v>3847</v>
      </c>
      <c r="G170">
        <v>0.159</v>
      </c>
      <c r="H170">
        <v>12</v>
      </c>
      <c r="I170">
        <v>93</v>
      </c>
      <c r="J170">
        <v>5.46</v>
      </c>
      <c r="K170">
        <v>0</v>
      </c>
      <c r="L170">
        <v>3.3</v>
      </c>
      <c r="M170">
        <v>620973.03</v>
      </c>
      <c r="N170">
        <v>72303.85</v>
      </c>
    </row>
    <row r="171" customFormat="1" spans="1:14">
      <c r="A171" t="s">
        <v>64</v>
      </c>
      <c r="B171" s="188">
        <v>45658</v>
      </c>
      <c r="C171" t="s">
        <v>26</v>
      </c>
      <c r="D171" t="s">
        <v>20</v>
      </c>
      <c r="E171">
        <v>41443.41</v>
      </c>
      <c r="F171">
        <v>7455</v>
      </c>
      <c r="G171">
        <v>0.175</v>
      </c>
      <c r="H171">
        <v>16</v>
      </c>
      <c r="I171">
        <v>90.1</v>
      </c>
      <c r="J171">
        <v>4.05</v>
      </c>
      <c r="K171">
        <v>0</v>
      </c>
      <c r="L171">
        <v>4</v>
      </c>
      <c r="M171">
        <v>650480.06</v>
      </c>
      <c r="N171">
        <v>109012.07</v>
      </c>
    </row>
    <row r="172" customFormat="1" spans="1:14">
      <c r="A172" t="s">
        <v>64</v>
      </c>
      <c r="B172" s="188">
        <v>45689</v>
      </c>
      <c r="C172" t="s">
        <v>26</v>
      </c>
      <c r="D172" t="s">
        <v>20</v>
      </c>
      <c r="E172">
        <v>48438.85</v>
      </c>
      <c r="F172">
        <v>6992</v>
      </c>
      <c r="G172">
        <v>0.034</v>
      </c>
      <c r="H172">
        <v>20</v>
      </c>
      <c r="I172">
        <v>91</v>
      </c>
      <c r="J172">
        <v>4.36</v>
      </c>
      <c r="K172">
        <v>0</v>
      </c>
      <c r="L172">
        <v>4.2</v>
      </c>
      <c r="M172">
        <v>778298.88</v>
      </c>
      <c r="N172">
        <v>130076.72</v>
      </c>
    </row>
    <row r="173" customFormat="1" spans="1:14">
      <c r="A173" t="s">
        <v>64</v>
      </c>
      <c r="B173" s="188">
        <v>45717</v>
      </c>
      <c r="C173" t="s">
        <v>26</v>
      </c>
      <c r="D173" t="s">
        <v>20</v>
      </c>
      <c r="E173">
        <v>57143.3</v>
      </c>
      <c r="F173">
        <v>8038</v>
      </c>
      <c r="G173">
        <v>0.193</v>
      </c>
      <c r="H173">
        <v>17</v>
      </c>
      <c r="I173">
        <v>72.6</v>
      </c>
      <c r="J173">
        <v>4.47</v>
      </c>
      <c r="K173">
        <v>0</v>
      </c>
      <c r="L173">
        <v>4.2</v>
      </c>
      <c r="M173">
        <v>677096.71</v>
      </c>
      <c r="N173">
        <v>97174.11</v>
      </c>
    </row>
    <row r="174" customFormat="1" spans="1:14">
      <c r="A174" t="s">
        <v>64</v>
      </c>
      <c r="B174" s="188">
        <v>45748</v>
      </c>
      <c r="C174" t="s">
        <v>26</v>
      </c>
      <c r="D174" t="s">
        <v>20</v>
      </c>
      <c r="E174">
        <v>66870.62</v>
      </c>
      <c r="F174">
        <v>6055</v>
      </c>
      <c r="G174">
        <v>0.075</v>
      </c>
      <c r="H174">
        <v>19</v>
      </c>
      <c r="I174">
        <v>93.8</v>
      </c>
      <c r="J174">
        <v>0.54</v>
      </c>
      <c r="K174">
        <v>0</v>
      </c>
      <c r="L174">
        <v>4.3</v>
      </c>
      <c r="M174">
        <v>692008.64</v>
      </c>
      <c r="N174">
        <v>116337.87</v>
      </c>
    </row>
    <row r="175" customFormat="1" spans="1:14">
      <c r="A175" t="s">
        <v>65</v>
      </c>
      <c r="B175" s="188">
        <v>45658</v>
      </c>
      <c r="C175" t="s">
        <v>22</v>
      </c>
      <c r="D175" t="s">
        <v>30</v>
      </c>
      <c r="E175">
        <v>72150.53</v>
      </c>
      <c r="F175">
        <v>9323</v>
      </c>
      <c r="G175">
        <v>0.157</v>
      </c>
      <c r="H175">
        <v>22</v>
      </c>
      <c r="I175">
        <v>82.9</v>
      </c>
      <c r="J175">
        <v>11.37</v>
      </c>
      <c r="K175">
        <v>1</v>
      </c>
      <c r="L175">
        <v>4.3</v>
      </c>
      <c r="M175">
        <v>825797.91</v>
      </c>
      <c r="N175">
        <v>130945.24</v>
      </c>
    </row>
    <row r="176" customFormat="1" spans="1:14">
      <c r="A176" t="s">
        <v>65</v>
      </c>
      <c r="B176" s="188">
        <v>45689</v>
      </c>
      <c r="C176" t="s">
        <v>22</v>
      </c>
      <c r="D176" t="s">
        <v>30</v>
      </c>
      <c r="E176">
        <v>35303.3</v>
      </c>
      <c r="F176">
        <v>8789</v>
      </c>
      <c r="G176">
        <v>0.123</v>
      </c>
      <c r="H176">
        <v>22</v>
      </c>
      <c r="I176">
        <v>86.1</v>
      </c>
      <c r="J176">
        <v>9.43</v>
      </c>
      <c r="K176">
        <v>0</v>
      </c>
      <c r="L176">
        <v>4.2</v>
      </c>
      <c r="M176">
        <v>706285.52</v>
      </c>
      <c r="N176">
        <v>138014.72</v>
      </c>
    </row>
    <row r="177" customFormat="1" spans="1:14">
      <c r="A177" t="s">
        <v>65</v>
      </c>
      <c r="B177" s="188">
        <v>45717</v>
      </c>
      <c r="C177" t="s">
        <v>22</v>
      </c>
      <c r="D177" t="s">
        <v>30</v>
      </c>
      <c r="E177">
        <v>30301.86</v>
      </c>
      <c r="F177">
        <v>6939</v>
      </c>
      <c r="G177">
        <v>0.09</v>
      </c>
      <c r="H177">
        <v>16</v>
      </c>
      <c r="I177">
        <v>90.3</v>
      </c>
      <c r="J177">
        <v>3.49</v>
      </c>
      <c r="K177">
        <v>0</v>
      </c>
      <c r="L177">
        <v>4</v>
      </c>
      <c r="M177">
        <v>665534.7</v>
      </c>
      <c r="N177">
        <v>113167.73</v>
      </c>
    </row>
    <row r="178" customFormat="1" spans="1:14">
      <c r="A178" t="s">
        <v>65</v>
      </c>
      <c r="B178" s="188">
        <v>45748</v>
      </c>
      <c r="C178" t="s">
        <v>22</v>
      </c>
      <c r="D178" t="s">
        <v>30</v>
      </c>
      <c r="E178">
        <v>78432.14</v>
      </c>
      <c r="F178">
        <v>9440</v>
      </c>
      <c r="G178">
        <v>0.126</v>
      </c>
      <c r="H178">
        <v>23</v>
      </c>
      <c r="I178">
        <v>89.2</v>
      </c>
      <c r="J178">
        <v>7.86</v>
      </c>
      <c r="K178">
        <v>0</v>
      </c>
      <c r="L178">
        <v>4.1</v>
      </c>
      <c r="M178">
        <v>820729.29</v>
      </c>
      <c r="N178">
        <v>159325.47</v>
      </c>
    </row>
    <row r="179" customFormat="1" spans="1:14">
      <c r="A179" t="s">
        <v>66</v>
      </c>
      <c r="B179" s="188">
        <v>45658</v>
      </c>
      <c r="C179" t="s">
        <v>17</v>
      </c>
      <c r="D179" t="s">
        <v>18</v>
      </c>
      <c r="E179">
        <v>62059.18</v>
      </c>
      <c r="F179">
        <v>9374</v>
      </c>
      <c r="G179">
        <v>0.136</v>
      </c>
      <c r="H179">
        <v>25</v>
      </c>
      <c r="I179">
        <v>87.1</v>
      </c>
      <c r="J179">
        <v>12.55</v>
      </c>
      <c r="K179">
        <v>0</v>
      </c>
      <c r="L179">
        <v>4.9</v>
      </c>
      <c r="M179">
        <v>739831.73</v>
      </c>
      <c r="N179">
        <v>119490.21</v>
      </c>
    </row>
    <row r="180" customFormat="1" spans="1:14">
      <c r="A180" t="s">
        <v>66</v>
      </c>
      <c r="B180" s="188">
        <v>45689</v>
      </c>
      <c r="C180" t="s">
        <v>17</v>
      </c>
      <c r="D180" t="s">
        <v>18</v>
      </c>
      <c r="E180">
        <v>32834.48</v>
      </c>
      <c r="F180">
        <v>7576</v>
      </c>
      <c r="G180">
        <v>0.099</v>
      </c>
      <c r="H180">
        <v>15</v>
      </c>
      <c r="I180">
        <v>84.1</v>
      </c>
      <c r="J180">
        <v>3.48</v>
      </c>
      <c r="K180">
        <v>0</v>
      </c>
      <c r="L180">
        <v>5</v>
      </c>
      <c r="M180">
        <v>593637.14</v>
      </c>
      <c r="N180">
        <v>106648.14</v>
      </c>
    </row>
    <row r="181" customFormat="1" spans="1:14">
      <c r="A181" t="s">
        <v>66</v>
      </c>
      <c r="B181" s="188">
        <v>45717</v>
      </c>
      <c r="C181" t="s">
        <v>17</v>
      </c>
      <c r="D181" t="s">
        <v>18</v>
      </c>
      <c r="E181">
        <v>50825.08</v>
      </c>
      <c r="F181">
        <v>8949</v>
      </c>
      <c r="G181">
        <v>0.157</v>
      </c>
      <c r="H181">
        <v>21</v>
      </c>
      <c r="I181">
        <v>84.7</v>
      </c>
      <c r="J181">
        <v>7.73</v>
      </c>
      <c r="K181">
        <v>0</v>
      </c>
      <c r="L181">
        <v>4.9</v>
      </c>
      <c r="M181">
        <v>769702.76</v>
      </c>
      <c r="N181">
        <v>158697</v>
      </c>
    </row>
    <row r="182" customFormat="1" spans="1:14">
      <c r="A182" t="s">
        <v>66</v>
      </c>
      <c r="B182" s="188">
        <v>45748</v>
      </c>
      <c r="C182" t="s">
        <v>17</v>
      </c>
      <c r="D182" t="s">
        <v>18</v>
      </c>
      <c r="E182">
        <v>36606.51</v>
      </c>
      <c r="F182">
        <v>7671</v>
      </c>
      <c r="G182">
        <v>0.118</v>
      </c>
      <c r="H182">
        <v>18</v>
      </c>
      <c r="I182">
        <v>89.8</v>
      </c>
      <c r="J182">
        <v>0.25</v>
      </c>
      <c r="K182">
        <v>0</v>
      </c>
      <c r="L182">
        <v>4.4</v>
      </c>
      <c r="M182">
        <v>679731.57</v>
      </c>
      <c r="N182">
        <v>121546.42</v>
      </c>
    </row>
    <row r="183" customFormat="1" spans="1:14">
      <c r="A183" t="s">
        <v>67</v>
      </c>
      <c r="B183" s="188">
        <v>45658</v>
      </c>
      <c r="C183" t="s">
        <v>17</v>
      </c>
      <c r="D183" t="s">
        <v>18</v>
      </c>
      <c r="E183">
        <v>65237.79</v>
      </c>
      <c r="F183">
        <v>8741</v>
      </c>
      <c r="G183">
        <v>0.157</v>
      </c>
      <c r="H183">
        <v>20</v>
      </c>
      <c r="I183">
        <v>94.4</v>
      </c>
      <c r="J183">
        <v>6.43</v>
      </c>
      <c r="K183">
        <v>0</v>
      </c>
      <c r="L183">
        <v>3.3</v>
      </c>
      <c r="M183">
        <v>780344.18</v>
      </c>
      <c r="N183">
        <v>118239.09</v>
      </c>
    </row>
    <row r="184" customFormat="1" spans="1:14">
      <c r="A184" t="s">
        <v>67</v>
      </c>
      <c r="B184" s="188">
        <v>45689</v>
      </c>
      <c r="C184" t="s">
        <v>17</v>
      </c>
      <c r="D184" t="s">
        <v>18</v>
      </c>
      <c r="E184">
        <v>43645.98</v>
      </c>
      <c r="F184">
        <v>9480</v>
      </c>
      <c r="G184">
        <v>0.109</v>
      </c>
      <c r="H184">
        <v>22</v>
      </c>
      <c r="I184">
        <v>89</v>
      </c>
      <c r="J184">
        <v>2.11</v>
      </c>
      <c r="K184">
        <v>0</v>
      </c>
      <c r="L184">
        <v>3.1</v>
      </c>
      <c r="M184">
        <v>721364.11</v>
      </c>
      <c r="N184">
        <v>147272.81</v>
      </c>
    </row>
    <row r="185" customFormat="1" spans="1:14">
      <c r="A185" t="s">
        <v>67</v>
      </c>
      <c r="B185" s="188">
        <v>45717</v>
      </c>
      <c r="C185" t="s">
        <v>17</v>
      </c>
      <c r="D185" t="s">
        <v>18</v>
      </c>
      <c r="E185">
        <v>68040.15</v>
      </c>
      <c r="F185">
        <v>9826</v>
      </c>
      <c r="G185">
        <v>0.125</v>
      </c>
      <c r="H185">
        <v>20</v>
      </c>
      <c r="I185">
        <v>83.9</v>
      </c>
      <c r="J185">
        <v>9.12</v>
      </c>
      <c r="K185">
        <v>0</v>
      </c>
      <c r="L185">
        <v>3.6</v>
      </c>
      <c r="M185">
        <v>758138.29</v>
      </c>
      <c r="N185">
        <v>132975.26</v>
      </c>
    </row>
    <row r="186" customFormat="1" spans="1:14">
      <c r="A186" t="s">
        <v>67</v>
      </c>
      <c r="B186" s="188">
        <v>45748</v>
      </c>
      <c r="C186" t="s">
        <v>17</v>
      </c>
      <c r="D186" t="s">
        <v>18</v>
      </c>
      <c r="E186">
        <v>63043.94</v>
      </c>
      <c r="F186">
        <v>10402</v>
      </c>
      <c r="G186">
        <v>0.159</v>
      </c>
      <c r="H186">
        <v>23</v>
      </c>
      <c r="I186">
        <v>93.9</v>
      </c>
      <c r="J186">
        <v>2.71</v>
      </c>
      <c r="K186">
        <v>0</v>
      </c>
      <c r="L186">
        <v>3.1</v>
      </c>
      <c r="M186">
        <v>804264</v>
      </c>
      <c r="N186">
        <v>167117.91</v>
      </c>
    </row>
    <row r="187" customFormat="1" spans="1:14">
      <c r="A187" t="s">
        <v>68</v>
      </c>
      <c r="B187" s="188">
        <v>45658</v>
      </c>
      <c r="C187" t="s">
        <v>29</v>
      </c>
      <c r="D187" t="s">
        <v>23</v>
      </c>
      <c r="E187">
        <v>67494.09</v>
      </c>
      <c r="F187">
        <v>12361</v>
      </c>
      <c r="G187">
        <v>0.046</v>
      </c>
      <c r="H187">
        <v>24</v>
      </c>
      <c r="I187">
        <v>76.6</v>
      </c>
      <c r="J187">
        <v>3.65</v>
      </c>
      <c r="K187">
        <v>1</v>
      </c>
      <c r="L187">
        <v>3.7</v>
      </c>
      <c r="M187">
        <v>887537.75</v>
      </c>
      <c r="N187">
        <v>160362.92</v>
      </c>
    </row>
    <row r="188" customFormat="1" spans="1:14">
      <c r="A188" t="s">
        <v>68</v>
      </c>
      <c r="B188" s="188">
        <v>45689</v>
      </c>
      <c r="C188" t="s">
        <v>29</v>
      </c>
      <c r="D188" t="s">
        <v>23</v>
      </c>
      <c r="E188">
        <v>29389.32</v>
      </c>
      <c r="F188">
        <v>7925</v>
      </c>
      <c r="G188">
        <v>0.177</v>
      </c>
      <c r="H188">
        <v>21</v>
      </c>
      <c r="I188">
        <v>90.9</v>
      </c>
      <c r="J188">
        <v>7.86</v>
      </c>
      <c r="K188">
        <v>0</v>
      </c>
      <c r="L188">
        <v>4</v>
      </c>
      <c r="M188">
        <v>783582</v>
      </c>
      <c r="N188">
        <v>130670.93</v>
      </c>
    </row>
    <row r="189" customFormat="1" spans="1:14">
      <c r="A189" t="s">
        <v>68</v>
      </c>
      <c r="B189" s="188">
        <v>45717</v>
      </c>
      <c r="C189" t="s">
        <v>29</v>
      </c>
      <c r="D189" t="s">
        <v>23</v>
      </c>
      <c r="E189">
        <v>40535.09</v>
      </c>
      <c r="F189">
        <v>8870</v>
      </c>
      <c r="G189">
        <v>0.041</v>
      </c>
      <c r="H189">
        <v>21</v>
      </c>
      <c r="I189">
        <v>86.6</v>
      </c>
      <c r="J189">
        <v>0.3</v>
      </c>
      <c r="K189">
        <v>0</v>
      </c>
      <c r="L189">
        <v>4.1</v>
      </c>
      <c r="M189">
        <v>781955.52</v>
      </c>
      <c r="N189">
        <v>152578.71</v>
      </c>
    </row>
    <row r="190" customFormat="1" spans="1:14">
      <c r="A190" t="s">
        <v>68</v>
      </c>
      <c r="B190" s="188">
        <v>45748</v>
      </c>
      <c r="C190" t="s">
        <v>29</v>
      </c>
      <c r="D190" t="s">
        <v>23</v>
      </c>
      <c r="E190">
        <v>74881.56</v>
      </c>
      <c r="F190">
        <v>9999</v>
      </c>
      <c r="G190">
        <v>0.013</v>
      </c>
      <c r="H190">
        <v>20</v>
      </c>
      <c r="I190">
        <v>89.6</v>
      </c>
      <c r="J190">
        <v>8.44</v>
      </c>
      <c r="K190">
        <v>0</v>
      </c>
      <c r="L190">
        <v>4.1</v>
      </c>
      <c r="M190">
        <v>898031.04</v>
      </c>
      <c r="N190">
        <v>138666.5</v>
      </c>
    </row>
    <row r="191" customFormat="1" spans="1:14">
      <c r="A191" t="s">
        <v>69</v>
      </c>
      <c r="B191" s="188">
        <v>45658</v>
      </c>
      <c r="C191" t="s">
        <v>29</v>
      </c>
      <c r="D191" t="s">
        <v>18</v>
      </c>
      <c r="E191">
        <v>68491.11</v>
      </c>
      <c r="F191">
        <v>11154</v>
      </c>
      <c r="G191">
        <v>0.001</v>
      </c>
      <c r="H191">
        <v>24</v>
      </c>
      <c r="I191">
        <v>89.4</v>
      </c>
      <c r="J191">
        <v>5.27</v>
      </c>
      <c r="K191">
        <v>1</v>
      </c>
      <c r="L191">
        <v>3.9</v>
      </c>
      <c r="M191">
        <v>855341.28</v>
      </c>
      <c r="N191">
        <v>175823.8</v>
      </c>
    </row>
    <row r="192" customFormat="1" spans="1:14">
      <c r="A192" t="s">
        <v>69</v>
      </c>
      <c r="B192" s="188">
        <v>45689</v>
      </c>
      <c r="C192" t="s">
        <v>29</v>
      </c>
      <c r="D192" t="s">
        <v>18</v>
      </c>
      <c r="E192">
        <v>45209.25</v>
      </c>
      <c r="F192">
        <v>9287</v>
      </c>
      <c r="G192">
        <v>0.141</v>
      </c>
      <c r="H192">
        <v>22</v>
      </c>
      <c r="I192">
        <v>86.4</v>
      </c>
      <c r="J192">
        <v>13.22</v>
      </c>
      <c r="K192">
        <v>0</v>
      </c>
      <c r="L192">
        <v>3.6</v>
      </c>
      <c r="M192">
        <v>751393.88</v>
      </c>
      <c r="N192">
        <v>91480.32</v>
      </c>
    </row>
    <row r="193" customFormat="1" spans="1:14">
      <c r="A193" t="s">
        <v>69</v>
      </c>
      <c r="B193" s="188">
        <v>45717</v>
      </c>
      <c r="C193" t="s">
        <v>29</v>
      </c>
      <c r="D193" t="s">
        <v>18</v>
      </c>
      <c r="E193">
        <v>63010.23</v>
      </c>
      <c r="F193">
        <v>9812</v>
      </c>
      <c r="G193">
        <v>0.113</v>
      </c>
      <c r="H193">
        <v>24</v>
      </c>
      <c r="I193">
        <v>76.8</v>
      </c>
      <c r="J193">
        <v>1.02</v>
      </c>
      <c r="K193">
        <v>1</v>
      </c>
      <c r="L193">
        <v>3.8</v>
      </c>
      <c r="M193">
        <v>761077.08</v>
      </c>
      <c r="N193">
        <v>113605.93</v>
      </c>
    </row>
    <row r="194" customFormat="1" spans="1:14">
      <c r="A194" t="s">
        <v>69</v>
      </c>
      <c r="B194" s="188">
        <v>45748</v>
      </c>
      <c r="C194" t="s">
        <v>29</v>
      </c>
      <c r="D194" t="s">
        <v>18</v>
      </c>
      <c r="E194">
        <v>57948.88</v>
      </c>
      <c r="F194">
        <v>10741</v>
      </c>
      <c r="G194">
        <v>0.07</v>
      </c>
      <c r="H194">
        <v>25</v>
      </c>
      <c r="I194">
        <v>90.1</v>
      </c>
      <c r="J194">
        <v>4.03</v>
      </c>
      <c r="K194">
        <v>0</v>
      </c>
      <c r="L194">
        <v>3.1</v>
      </c>
      <c r="M194">
        <v>819660.59</v>
      </c>
      <c r="N194">
        <v>172699.95</v>
      </c>
    </row>
    <row r="195" customFormat="1" spans="1:14">
      <c r="A195" t="s">
        <v>70</v>
      </c>
      <c r="B195" s="188">
        <v>45658</v>
      </c>
      <c r="C195" t="s">
        <v>22</v>
      </c>
      <c r="D195" t="s">
        <v>20</v>
      </c>
      <c r="E195">
        <v>71941.62</v>
      </c>
      <c r="F195">
        <v>6084</v>
      </c>
      <c r="G195">
        <v>0.072</v>
      </c>
      <c r="H195">
        <v>13</v>
      </c>
      <c r="I195">
        <v>93.7</v>
      </c>
      <c r="J195">
        <v>2.34</v>
      </c>
      <c r="K195">
        <v>0</v>
      </c>
      <c r="L195">
        <v>4.4</v>
      </c>
      <c r="M195">
        <v>681855.56</v>
      </c>
      <c r="N195">
        <v>117645.61</v>
      </c>
    </row>
    <row r="196" customFormat="1" spans="1:14">
      <c r="A196" t="s">
        <v>70</v>
      </c>
      <c r="B196" s="188">
        <v>45689</v>
      </c>
      <c r="C196" t="s">
        <v>22</v>
      </c>
      <c r="D196" t="s">
        <v>20</v>
      </c>
      <c r="E196">
        <v>57147.88</v>
      </c>
      <c r="F196">
        <v>5252</v>
      </c>
      <c r="G196">
        <v>0.161</v>
      </c>
      <c r="H196">
        <v>15</v>
      </c>
      <c r="I196">
        <v>95.5</v>
      </c>
      <c r="J196">
        <v>8.51</v>
      </c>
      <c r="K196">
        <v>0</v>
      </c>
      <c r="L196">
        <v>4.4</v>
      </c>
      <c r="M196">
        <v>678311.17</v>
      </c>
      <c r="N196">
        <v>132029.76</v>
      </c>
    </row>
    <row r="197" customFormat="1" spans="1:14">
      <c r="A197" t="s">
        <v>70</v>
      </c>
      <c r="B197" s="188">
        <v>45717</v>
      </c>
      <c r="C197" t="s">
        <v>22</v>
      </c>
      <c r="D197" t="s">
        <v>20</v>
      </c>
      <c r="E197">
        <v>48031.74</v>
      </c>
      <c r="F197">
        <v>6516</v>
      </c>
      <c r="G197">
        <v>0.067</v>
      </c>
      <c r="H197">
        <v>14</v>
      </c>
      <c r="I197">
        <v>99</v>
      </c>
      <c r="J197">
        <v>0.48</v>
      </c>
      <c r="K197">
        <v>1</v>
      </c>
      <c r="L197">
        <v>4.3</v>
      </c>
      <c r="M197">
        <v>765906.95</v>
      </c>
      <c r="N197">
        <v>114005.9</v>
      </c>
    </row>
    <row r="198" customFormat="1" spans="1:14">
      <c r="A198" t="s">
        <v>70</v>
      </c>
      <c r="B198" s="188">
        <v>45748</v>
      </c>
      <c r="C198" t="s">
        <v>22</v>
      </c>
      <c r="D198" t="s">
        <v>20</v>
      </c>
      <c r="E198">
        <v>72784.8</v>
      </c>
      <c r="F198">
        <v>7932</v>
      </c>
      <c r="G198">
        <v>0.094</v>
      </c>
      <c r="H198">
        <v>20</v>
      </c>
      <c r="I198">
        <v>74.9</v>
      </c>
      <c r="J198">
        <v>13.62</v>
      </c>
      <c r="K198">
        <v>0</v>
      </c>
      <c r="L198">
        <v>4.2</v>
      </c>
      <c r="M198">
        <v>712546.38</v>
      </c>
      <c r="N198">
        <v>101480.04</v>
      </c>
    </row>
    <row r="199" customFormat="1" spans="1:14">
      <c r="A199" t="s">
        <v>71</v>
      </c>
      <c r="B199" s="188">
        <v>45658</v>
      </c>
      <c r="C199" t="s">
        <v>17</v>
      </c>
      <c r="D199" t="s">
        <v>20</v>
      </c>
      <c r="E199">
        <v>71641.9</v>
      </c>
      <c r="F199">
        <v>3506</v>
      </c>
      <c r="G199">
        <v>0</v>
      </c>
      <c r="H199">
        <v>11</v>
      </c>
      <c r="I199">
        <v>86.4</v>
      </c>
      <c r="J199">
        <v>7.77</v>
      </c>
      <c r="K199">
        <v>0</v>
      </c>
      <c r="L199">
        <v>4.1</v>
      </c>
      <c r="M199">
        <v>625993.83</v>
      </c>
      <c r="N199">
        <v>98960.32</v>
      </c>
    </row>
    <row r="200" customFormat="1" spans="1:14">
      <c r="A200" t="s">
        <v>71</v>
      </c>
      <c r="B200" s="188">
        <v>45689</v>
      </c>
      <c r="C200" t="s">
        <v>17</v>
      </c>
      <c r="D200" t="s">
        <v>20</v>
      </c>
      <c r="E200">
        <v>55788.61</v>
      </c>
      <c r="F200">
        <v>2312</v>
      </c>
      <c r="G200">
        <v>0.058</v>
      </c>
      <c r="H200">
        <v>10</v>
      </c>
      <c r="I200">
        <v>91.3</v>
      </c>
      <c r="J200">
        <v>1.99</v>
      </c>
      <c r="K200">
        <v>0</v>
      </c>
      <c r="L200">
        <v>3.8</v>
      </c>
      <c r="M200">
        <v>550962.93</v>
      </c>
      <c r="N200">
        <v>97144.58</v>
      </c>
    </row>
    <row r="201" customFormat="1" spans="1:14">
      <c r="A201" t="s">
        <v>71</v>
      </c>
      <c r="B201" s="188">
        <v>45717</v>
      </c>
      <c r="C201" t="s">
        <v>17</v>
      </c>
      <c r="D201" t="s">
        <v>20</v>
      </c>
      <c r="E201">
        <v>37705.88</v>
      </c>
      <c r="F201">
        <v>1268</v>
      </c>
      <c r="G201">
        <v>0.259</v>
      </c>
      <c r="H201">
        <v>9</v>
      </c>
      <c r="I201">
        <v>84.1</v>
      </c>
      <c r="J201">
        <v>4.77</v>
      </c>
      <c r="K201">
        <v>0</v>
      </c>
      <c r="L201">
        <v>3.8</v>
      </c>
      <c r="M201">
        <v>443275.59</v>
      </c>
      <c r="N201">
        <v>53544.36</v>
      </c>
    </row>
    <row r="202" customFormat="1" spans="1:14">
      <c r="A202" t="s">
        <v>71</v>
      </c>
      <c r="B202" s="188">
        <v>45748</v>
      </c>
      <c r="C202" t="s">
        <v>17</v>
      </c>
      <c r="D202" t="s">
        <v>20</v>
      </c>
      <c r="E202">
        <v>54966.18</v>
      </c>
      <c r="F202">
        <v>4423</v>
      </c>
      <c r="G202">
        <v>0.186</v>
      </c>
      <c r="H202">
        <v>13</v>
      </c>
      <c r="I202">
        <v>88.7</v>
      </c>
      <c r="J202">
        <v>0.2</v>
      </c>
      <c r="K202">
        <v>0</v>
      </c>
      <c r="L202">
        <v>4.4</v>
      </c>
      <c r="M202">
        <v>554012.07</v>
      </c>
      <c r="N202">
        <v>81101.62</v>
      </c>
    </row>
    <row r="203" customFormat="1" spans="1:14">
      <c r="A203" t="s">
        <v>72</v>
      </c>
      <c r="B203" s="188">
        <v>45658</v>
      </c>
      <c r="C203" t="s">
        <v>29</v>
      </c>
      <c r="D203" t="s">
        <v>18</v>
      </c>
      <c r="E203">
        <v>81796.74</v>
      </c>
      <c r="F203">
        <v>6177</v>
      </c>
      <c r="G203">
        <v>0.164</v>
      </c>
      <c r="H203">
        <v>14</v>
      </c>
      <c r="I203">
        <v>87.9</v>
      </c>
      <c r="J203">
        <v>0.53</v>
      </c>
      <c r="K203">
        <v>0</v>
      </c>
      <c r="L203">
        <v>3.2</v>
      </c>
      <c r="M203">
        <v>643428.85</v>
      </c>
      <c r="N203">
        <v>94477.63</v>
      </c>
    </row>
    <row r="204" customFormat="1" spans="1:14">
      <c r="A204" t="s">
        <v>72</v>
      </c>
      <c r="B204" s="188">
        <v>45689</v>
      </c>
      <c r="C204" t="s">
        <v>29</v>
      </c>
      <c r="D204" t="s">
        <v>18</v>
      </c>
      <c r="E204">
        <v>51133.43</v>
      </c>
      <c r="F204">
        <v>5150</v>
      </c>
      <c r="G204">
        <v>0.15</v>
      </c>
      <c r="H204">
        <v>12</v>
      </c>
      <c r="I204">
        <v>88.5</v>
      </c>
      <c r="J204">
        <v>1.54</v>
      </c>
      <c r="K204">
        <v>0</v>
      </c>
      <c r="L204">
        <v>3.2</v>
      </c>
      <c r="M204">
        <v>611924.27</v>
      </c>
      <c r="N204">
        <v>115488.75</v>
      </c>
    </row>
    <row r="205" customFormat="1" spans="1:14">
      <c r="A205" t="s">
        <v>72</v>
      </c>
      <c r="B205" s="188">
        <v>45717</v>
      </c>
      <c r="C205" t="s">
        <v>29</v>
      </c>
      <c r="D205" t="s">
        <v>18</v>
      </c>
      <c r="E205">
        <v>40220.18</v>
      </c>
      <c r="F205">
        <v>3783</v>
      </c>
      <c r="G205">
        <v>0.089</v>
      </c>
      <c r="H205">
        <v>14</v>
      </c>
      <c r="I205">
        <v>86.6</v>
      </c>
      <c r="J205">
        <v>3.63</v>
      </c>
      <c r="K205">
        <v>0</v>
      </c>
      <c r="L205">
        <v>3.7</v>
      </c>
      <c r="M205">
        <v>559422.02</v>
      </c>
      <c r="N205">
        <v>73528.74</v>
      </c>
    </row>
    <row r="206" customFormat="1" spans="1:14">
      <c r="A206" t="s">
        <v>72</v>
      </c>
      <c r="B206" s="188">
        <v>45748</v>
      </c>
      <c r="C206" t="s">
        <v>29</v>
      </c>
      <c r="D206" t="s">
        <v>18</v>
      </c>
      <c r="E206">
        <v>41657.64</v>
      </c>
      <c r="F206">
        <v>3135</v>
      </c>
      <c r="G206">
        <v>0.229</v>
      </c>
      <c r="H206">
        <v>7</v>
      </c>
      <c r="I206">
        <v>85.4</v>
      </c>
      <c r="J206">
        <v>13.48</v>
      </c>
      <c r="K206">
        <v>0</v>
      </c>
      <c r="L206">
        <v>3.95</v>
      </c>
      <c r="M206">
        <v>449465.06</v>
      </c>
      <c r="N206">
        <v>65694.78</v>
      </c>
    </row>
    <row r="207" customFormat="1" spans="1:14">
      <c r="A207" t="s">
        <v>73</v>
      </c>
      <c r="B207" s="188">
        <v>45658</v>
      </c>
      <c r="C207" t="s">
        <v>22</v>
      </c>
      <c r="D207" t="s">
        <v>18</v>
      </c>
      <c r="E207">
        <v>71851.45</v>
      </c>
      <c r="F207">
        <v>4970</v>
      </c>
      <c r="G207">
        <v>0.098</v>
      </c>
      <c r="H207">
        <v>11</v>
      </c>
      <c r="I207">
        <v>89.6</v>
      </c>
      <c r="J207">
        <v>0.2</v>
      </c>
      <c r="K207">
        <v>0</v>
      </c>
      <c r="L207">
        <v>4.2</v>
      </c>
      <c r="M207">
        <v>691447.43</v>
      </c>
      <c r="N207">
        <v>114077.69</v>
      </c>
    </row>
    <row r="208" customFormat="1" spans="1:14">
      <c r="A208" t="s">
        <v>73</v>
      </c>
      <c r="B208" s="188">
        <v>45689</v>
      </c>
      <c r="C208" t="s">
        <v>22</v>
      </c>
      <c r="D208" t="s">
        <v>18</v>
      </c>
      <c r="E208">
        <v>54002.83</v>
      </c>
      <c r="F208">
        <v>4366</v>
      </c>
      <c r="G208">
        <v>0.027</v>
      </c>
      <c r="H208">
        <v>15</v>
      </c>
      <c r="I208">
        <v>90.6</v>
      </c>
      <c r="J208">
        <v>12.82</v>
      </c>
      <c r="K208">
        <v>0</v>
      </c>
      <c r="L208">
        <v>4.6</v>
      </c>
      <c r="M208">
        <v>574066.61</v>
      </c>
      <c r="N208">
        <v>124674.67</v>
      </c>
    </row>
    <row r="209" customFormat="1" spans="1:14">
      <c r="A209" t="s">
        <v>73</v>
      </c>
      <c r="B209" s="188">
        <v>45717</v>
      </c>
      <c r="C209" t="s">
        <v>22</v>
      </c>
      <c r="D209" t="s">
        <v>18</v>
      </c>
      <c r="E209">
        <v>54479.33</v>
      </c>
      <c r="F209">
        <v>5012</v>
      </c>
      <c r="G209">
        <v>0.284</v>
      </c>
      <c r="H209">
        <v>13</v>
      </c>
      <c r="I209">
        <v>86</v>
      </c>
      <c r="J209">
        <v>2.24</v>
      </c>
      <c r="K209">
        <v>1</v>
      </c>
      <c r="L209">
        <v>4.3</v>
      </c>
      <c r="M209">
        <v>578949.84</v>
      </c>
      <c r="N209">
        <v>80253.65</v>
      </c>
    </row>
    <row r="210" customFormat="1" spans="1:14">
      <c r="A210" t="s">
        <v>73</v>
      </c>
      <c r="B210" s="188">
        <v>45748</v>
      </c>
      <c r="C210" t="s">
        <v>22</v>
      </c>
      <c r="D210" t="s">
        <v>18</v>
      </c>
      <c r="E210">
        <v>61391.8</v>
      </c>
      <c r="F210">
        <v>5575</v>
      </c>
      <c r="G210">
        <v>0.189</v>
      </c>
      <c r="H210">
        <v>18</v>
      </c>
      <c r="I210">
        <v>90</v>
      </c>
      <c r="J210">
        <v>1.8</v>
      </c>
      <c r="K210">
        <v>0</v>
      </c>
      <c r="L210">
        <v>4.8</v>
      </c>
      <c r="M210">
        <v>735786.64</v>
      </c>
      <c r="N210">
        <v>126540.66</v>
      </c>
    </row>
    <row r="211" customFormat="1" spans="1:14">
      <c r="A211" t="s">
        <v>74</v>
      </c>
      <c r="B211" s="188">
        <v>45658</v>
      </c>
      <c r="C211" t="s">
        <v>17</v>
      </c>
      <c r="D211" t="s">
        <v>23</v>
      </c>
      <c r="E211">
        <v>22312.93</v>
      </c>
      <c r="F211">
        <v>5955</v>
      </c>
      <c r="G211">
        <v>0.123</v>
      </c>
      <c r="H211">
        <v>13</v>
      </c>
      <c r="I211">
        <v>84.2</v>
      </c>
      <c r="J211">
        <v>0.41</v>
      </c>
      <c r="K211">
        <v>1</v>
      </c>
      <c r="L211">
        <v>4.6</v>
      </c>
      <c r="M211">
        <v>598904.9</v>
      </c>
      <c r="N211">
        <v>72861</v>
      </c>
    </row>
    <row r="212" customFormat="1" spans="1:14">
      <c r="A212" t="s">
        <v>74</v>
      </c>
      <c r="B212" s="188">
        <v>45689</v>
      </c>
      <c r="C212" t="s">
        <v>17</v>
      </c>
      <c r="D212" t="s">
        <v>23</v>
      </c>
      <c r="E212">
        <v>78111.97</v>
      </c>
      <c r="F212">
        <v>6389</v>
      </c>
      <c r="G212">
        <v>0.15</v>
      </c>
      <c r="H212">
        <v>13</v>
      </c>
      <c r="I212">
        <v>83.9</v>
      </c>
      <c r="J212">
        <v>3.05</v>
      </c>
      <c r="K212">
        <v>0</v>
      </c>
      <c r="L212">
        <v>4.8</v>
      </c>
      <c r="M212">
        <v>787715.51</v>
      </c>
      <c r="N212">
        <v>128969.62</v>
      </c>
    </row>
    <row r="213" customFormat="1" spans="1:14">
      <c r="A213" t="s">
        <v>74</v>
      </c>
      <c r="B213" s="188">
        <v>45717</v>
      </c>
      <c r="C213" t="s">
        <v>17</v>
      </c>
      <c r="D213" t="s">
        <v>23</v>
      </c>
      <c r="E213">
        <v>35203.23</v>
      </c>
      <c r="F213">
        <v>6896</v>
      </c>
      <c r="G213">
        <v>0.032</v>
      </c>
      <c r="H213">
        <v>14</v>
      </c>
      <c r="I213">
        <v>80.8</v>
      </c>
      <c r="J213">
        <v>8.44</v>
      </c>
      <c r="K213">
        <v>1</v>
      </c>
      <c r="L213">
        <v>5</v>
      </c>
      <c r="M213">
        <v>607084.92</v>
      </c>
      <c r="N213">
        <v>98558.49</v>
      </c>
    </row>
    <row r="214" customFormat="1" spans="1:14">
      <c r="A214" t="s">
        <v>74</v>
      </c>
      <c r="B214" s="188">
        <v>45748</v>
      </c>
      <c r="C214" t="s">
        <v>17</v>
      </c>
      <c r="D214" t="s">
        <v>23</v>
      </c>
      <c r="E214">
        <v>64104.28</v>
      </c>
      <c r="F214">
        <v>6015</v>
      </c>
      <c r="G214">
        <v>0.127</v>
      </c>
      <c r="H214">
        <v>15</v>
      </c>
      <c r="I214">
        <v>88.7</v>
      </c>
      <c r="J214">
        <v>0.78</v>
      </c>
      <c r="K214">
        <v>0</v>
      </c>
      <c r="L214">
        <v>4</v>
      </c>
      <c r="M214">
        <v>650795.49</v>
      </c>
      <c r="N214">
        <v>103035.89</v>
      </c>
    </row>
    <row r="215" customFormat="1" spans="1:14">
      <c r="A215" t="s">
        <v>75</v>
      </c>
      <c r="B215" s="188">
        <v>45658</v>
      </c>
      <c r="C215" t="s">
        <v>17</v>
      </c>
      <c r="D215" t="s">
        <v>30</v>
      </c>
      <c r="E215">
        <v>92090.14</v>
      </c>
      <c r="F215">
        <v>9476</v>
      </c>
      <c r="G215">
        <v>0.07</v>
      </c>
      <c r="H215">
        <v>24</v>
      </c>
      <c r="I215">
        <v>94.3</v>
      </c>
      <c r="J215">
        <v>0.87</v>
      </c>
      <c r="K215">
        <v>0</v>
      </c>
      <c r="L215">
        <v>3.7</v>
      </c>
      <c r="M215">
        <v>825060.52</v>
      </c>
      <c r="N215">
        <v>143613.15</v>
      </c>
    </row>
    <row r="216" customFormat="1" spans="1:14">
      <c r="A216" t="s">
        <v>75</v>
      </c>
      <c r="B216" s="188">
        <v>45689</v>
      </c>
      <c r="C216" t="s">
        <v>17</v>
      </c>
      <c r="D216" t="s">
        <v>30</v>
      </c>
      <c r="E216">
        <v>54300.87</v>
      </c>
      <c r="F216">
        <v>7875</v>
      </c>
      <c r="G216">
        <v>0.107</v>
      </c>
      <c r="H216">
        <v>19</v>
      </c>
      <c r="I216">
        <v>94.1</v>
      </c>
      <c r="J216">
        <v>0.95</v>
      </c>
      <c r="K216">
        <v>0</v>
      </c>
      <c r="L216">
        <v>3.7</v>
      </c>
      <c r="M216">
        <v>795464.47</v>
      </c>
      <c r="N216">
        <v>161150.52</v>
      </c>
    </row>
    <row r="217" customFormat="1" spans="1:14">
      <c r="A217" t="s">
        <v>75</v>
      </c>
      <c r="B217" s="188">
        <v>45717</v>
      </c>
      <c r="C217" t="s">
        <v>17</v>
      </c>
      <c r="D217" t="s">
        <v>30</v>
      </c>
      <c r="E217">
        <v>37983.35</v>
      </c>
      <c r="F217">
        <v>9283</v>
      </c>
      <c r="G217">
        <v>0.149</v>
      </c>
      <c r="H217">
        <v>19</v>
      </c>
      <c r="I217">
        <v>83.2</v>
      </c>
      <c r="J217">
        <v>3.82</v>
      </c>
      <c r="K217">
        <v>0</v>
      </c>
      <c r="L217">
        <v>3.7</v>
      </c>
      <c r="M217">
        <v>671868.59</v>
      </c>
      <c r="N217">
        <v>71003.28</v>
      </c>
    </row>
    <row r="218" customFormat="1" spans="1:14">
      <c r="A218" t="s">
        <v>75</v>
      </c>
      <c r="B218" s="188">
        <v>45748</v>
      </c>
      <c r="C218" t="s">
        <v>17</v>
      </c>
      <c r="D218" t="s">
        <v>30</v>
      </c>
      <c r="E218">
        <v>56413.83</v>
      </c>
      <c r="F218">
        <v>8303</v>
      </c>
      <c r="G218">
        <v>0.116</v>
      </c>
      <c r="H218">
        <v>18</v>
      </c>
      <c r="I218">
        <v>93.6</v>
      </c>
      <c r="J218">
        <v>2.7</v>
      </c>
      <c r="K218">
        <v>0</v>
      </c>
      <c r="L218">
        <v>3.7</v>
      </c>
      <c r="M218">
        <v>675917.63</v>
      </c>
      <c r="N218">
        <v>112564.75</v>
      </c>
    </row>
    <row r="219" customFormat="1" spans="1:14">
      <c r="A219" t="s">
        <v>76</v>
      </c>
      <c r="B219" s="188">
        <v>45658</v>
      </c>
      <c r="C219" t="s">
        <v>17</v>
      </c>
      <c r="D219" t="s">
        <v>20</v>
      </c>
      <c r="E219">
        <v>63457.19</v>
      </c>
      <c r="F219">
        <v>10125</v>
      </c>
      <c r="G219">
        <v>0.097</v>
      </c>
      <c r="H219">
        <v>24</v>
      </c>
      <c r="I219">
        <v>87</v>
      </c>
      <c r="J219">
        <v>3.84</v>
      </c>
      <c r="K219">
        <v>1</v>
      </c>
      <c r="L219">
        <v>3.7</v>
      </c>
      <c r="M219">
        <v>810446.53</v>
      </c>
      <c r="N219">
        <v>200575.34</v>
      </c>
    </row>
    <row r="220" customFormat="1" spans="1:14">
      <c r="A220" t="s">
        <v>76</v>
      </c>
      <c r="B220" s="188">
        <v>45689</v>
      </c>
      <c r="C220" t="s">
        <v>17</v>
      </c>
      <c r="D220" t="s">
        <v>20</v>
      </c>
      <c r="E220">
        <v>62949.7</v>
      </c>
      <c r="F220">
        <v>9458</v>
      </c>
      <c r="G220">
        <v>0.171</v>
      </c>
      <c r="H220">
        <v>19</v>
      </c>
      <c r="I220">
        <v>84.9</v>
      </c>
      <c r="J220">
        <v>5.09</v>
      </c>
      <c r="K220">
        <v>0</v>
      </c>
      <c r="L220">
        <v>3.3</v>
      </c>
      <c r="M220">
        <v>691288.19</v>
      </c>
      <c r="N220">
        <v>159074.14</v>
      </c>
    </row>
    <row r="221" customFormat="1" spans="1:14">
      <c r="A221" t="s">
        <v>76</v>
      </c>
      <c r="B221" s="188">
        <v>45717</v>
      </c>
      <c r="C221" t="s">
        <v>17</v>
      </c>
      <c r="D221" t="s">
        <v>20</v>
      </c>
      <c r="E221">
        <v>107970.19</v>
      </c>
      <c r="F221">
        <v>12870</v>
      </c>
      <c r="G221">
        <v>0.029</v>
      </c>
      <c r="H221">
        <v>31</v>
      </c>
      <c r="I221">
        <v>91.7</v>
      </c>
      <c r="J221">
        <v>3.82</v>
      </c>
      <c r="K221">
        <v>1</v>
      </c>
      <c r="L221">
        <v>3.7</v>
      </c>
      <c r="M221">
        <v>946833.54</v>
      </c>
      <c r="N221">
        <v>184540.31</v>
      </c>
    </row>
    <row r="222" customFormat="1" spans="1:14">
      <c r="A222" t="s">
        <v>76</v>
      </c>
      <c r="B222" s="188">
        <v>45748</v>
      </c>
      <c r="C222" t="s">
        <v>17</v>
      </c>
      <c r="D222" t="s">
        <v>20</v>
      </c>
      <c r="E222">
        <v>49405.75</v>
      </c>
      <c r="F222">
        <v>9752</v>
      </c>
      <c r="G222">
        <v>0.093</v>
      </c>
      <c r="H222">
        <v>21</v>
      </c>
      <c r="I222">
        <v>87</v>
      </c>
      <c r="J222">
        <v>12.28</v>
      </c>
      <c r="K222">
        <v>0</v>
      </c>
      <c r="L222">
        <v>4.1</v>
      </c>
      <c r="M222">
        <v>761963.23</v>
      </c>
      <c r="N222">
        <v>150113.61</v>
      </c>
    </row>
    <row r="223" customFormat="1" spans="1:14">
      <c r="A223" t="s">
        <v>77</v>
      </c>
      <c r="B223" s="188">
        <v>45658</v>
      </c>
      <c r="C223" t="s">
        <v>29</v>
      </c>
      <c r="D223" t="s">
        <v>18</v>
      </c>
      <c r="E223">
        <v>50887.46</v>
      </c>
      <c r="F223">
        <v>9505</v>
      </c>
      <c r="G223">
        <v>0.091</v>
      </c>
      <c r="H223">
        <v>25</v>
      </c>
      <c r="I223">
        <v>89.7</v>
      </c>
      <c r="J223">
        <v>2.8</v>
      </c>
      <c r="K223">
        <v>0</v>
      </c>
      <c r="L223">
        <v>4.3</v>
      </c>
      <c r="M223">
        <v>812152.6</v>
      </c>
      <c r="N223">
        <v>138419.43</v>
      </c>
    </row>
    <row r="224" customFormat="1" spans="1:14">
      <c r="A224" t="s">
        <v>77</v>
      </c>
      <c r="B224" s="188">
        <v>45689</v>
      </c>
      <c r="C224" t="s">
        <v>29</v>
      </c>
      <c r="D224" t="s">
        <v>18</v>
      </c>
      <c r="E224">
        <v>41819.45</v>
      </c>
      <c r="F224">
        <v>9412</v>
      </c>
      <c r="G224">
        <v>0.15</v>
      </c>
      <c r="H224">
        <v>22</v>
      </c>
      <c r="I224">
        <v>91</v>
      </c>
      <c r="J224">
        <v>3.67</v>
      </c>
      <c r="K224">
        <v>0</v>
      </c>
      <c r="L224">
        <v>4.2</v>
      </c>
      <c r="M224">
        <v>804975.5</v>
      </c>
      <c r="N224">
        <v>140054.5</v>
      </c>
    </row>
    <row r="225" customFormat="1" spans="1:14">
      <c r="A225" t="s">
        <v>77</v>
      </c>
      <c r="B225" s="188">
        <v>45717</v>
      </c>
      <c r="C225" t="s">
        <v>29</v>
      </c>
      <c r="D225" t="s">
        <v>18</v>
      </c>
      <c r="E225">
        <v>35296.54</v>
      </c>
      <c r="F225">
        <v>9644</v>
      </c>
      <c r="G225">
        <v>0</v>
      </c>
      <c r="H225">
        <v>22</v>
      </c>
      <c r="I225">
        <v>88</v>
      </c>
      <c r="J225">
        <v>2.81</v>
      </c>
      <c r="K225">
        <v>0</v>
      </c>
      <c r="L225">
        <v>4.7</v>
      </c>
      <c r="M225">
        <v>752321.72</v>
      </c>
      <c r="N225">
        <v>137788.51</v>
      </c>
    </row>
    <row r="226" customFormat="1" spans="1:14">
      <c r="A226" t="s">
        <v>77</v>
      </c>
      <c r="B226" s="188">
        <v>45748</v>
      </c>
      <c r="C226" t="s">
        <v>29</v>
      </c>
      <c r="D226" t="s">
        <v>18</v>
      </c>
      <c r="E226">
        <v>47391.09</v>
      </c>
      <c r="F226">
        <v>11224</v>
      </c>
      <c r="G226">
        <v>0.147</v>
      </c>
      <c r="H226">
        <v>25</v>
      </c>
      <c r="I226">
        <v>88.4</v>
      </c>
      <c r="J226">
        <v>2.44</v>
      </c>
      <c r="K226">
        <v>0</v>
      </c>
      <c r="L226">
        <v>4.9</v>
      </c>
      <c r="M226">
        <v>836908.24</v>
      </c>
      <c r="N226">
        <v>141090.26</v>
      </c>
    </row>
    <row r="227" customFormat="1" spans="1:14">
      <c r="A227" t="s">
        <v>78</v>
      </c>
      <c r="B227" s="188">
        <v>45658</v>
      </c>
      <c r="C227" t="s">
        <v>22</v>
      </c>
      <c r="D227" t="s">
        <v>23</v>
      </c>
      <c r="E227">
        <v>69180.54</v>
      </c>
      <c r="F227">
        <v>5394</v>
      </c>
      <c r="G227">
        <v>0.126</v>
      </c>
      <c r="H227">
        <v>12</v>
      </c>
      <c r="I227">
        <v>82.9</v>
      </c>
      <c r="J227">
        <v>3.27</v>
      </c>
      <c r="K227">
        <v>0</v>
      </c>
      <c r="L227">
        <v>3.3</v>
      </c>
      <c r="M227">
        <v>674289.1</v>
      </c>
      <c r="N227">
        <v>117773.79</v>
      </c>
    </row>
    <row r="228" customFormat="1" spans="1:14">
      <c r="A228" t="s">
        <v>78</v>
      </c>
      <c r="B228" s="188">
        <v>45689</v>
      </c>
      <c r="C228" t="s">
        <v>22</v>
      </c>
      <c r="D228" t="s">
        <v>23</v>
      </c>
      <c r="E228">
        <v>33987.33</v>
      </c>
      <c r="F228">
        <v>5014</v>
      </c>
      <c r="G228">
        <v>0.246</v>
      </c>
      <c r="H228">
        <v>17</v>
      </c>
      <c r="I228">
        <v>94.3</v>
      </c>
      <c r="J228">
        <v>10.34</v>
      </c>
      <c r="K228">
        <v>0</v>
      </c>
      <c r="L228">
        <v>3.9</v>
      </c>
      <c r="M228">
        <v>622892.42</v>
      </c>
      <c r="N228">
        <v>101032.52</v>
      </c>
    </row>
    <row r="229" customFormat="1" spans="1:14">
      <c r="A229" t="s">
        <v>78</v>
      </c>
      <c r="B229" s="188">
        <v>45717</v>
      </c>
      <c r="C229" t="s">
        <v>22</v>
      </c>
      <c r="D229" t="s">
        <v>23</v>
      </c>
      <c r="E229">
        <v>58785.33</v>
      </c>
      <c r="F229">
        <v>4467</v>
      </c>
      <c r="G229">
        <v>0.229</v>
      </c>
      <c r="H229">
        <v>14</v>
      </c>
      <c r="I229">
        <v>90.7</v>
      </c>
      <c r="J229">
        <v>1.92</v>
      </c>
      <c r="K229">
        <v>0</v>
      </c>
      <c r="L229">
        <v>3.7</v>
      </c>
      <c r="M229">
        <v>673348.56</v>
      </c>
      <c r="N229">
        <v>69464.59</v>
      </c>
    </row>
    <row r="230" customFormat="1" spans="1:14">
      <c r="A230" t="s">
        <v>78</v>
      </c>
      <c r="B230" s="188">
        <v>45748</v>
      </c>
      <c r="C230" t="s">
        <v>22</v>
      </c>
      <c r="D230" t="s">
        <v>23</v>
      </c>
      <c r="E230">
        <v>16451.85</v>
      </c>
      <c r="F230">
        <v>4678</v>
      </c>
      <c r="G230">
        <v>0.133</v>
      </c>
      <c r="H230">
        <v>11</v>
      </c>
      <c r="I230">
        <v>95.9</v>
      </c>
      <c r="J230">
        <v>3.1</v>
      </c>
      <c r="K230">
        <v>0</v>
      </c>
      <c r="L230">
        <v>3.9</v>
      </c>
      <c r="M230">
        <v>606278.3</v>
      </c>
      <c r="N230">
        <v>102213.26</v>
      </c>
    </row>
    <row r="231" customFormat="1" spans="1:14">
      <c r="A231" t="s">
        <v>79</v>
      </c>
      <c r="B231" s="188">
        <v>45658</v>
      </c>
      <c r="C231" t="s">
        <v>17</v>
      </c>
      <c r="D231" t="s">
        <v>20</v>
      </c>
      <c r="E231">
        <v>53367.73</v>
      </c>
      <c r="F231">
        <v>7291</v>
      </c>
      <c r="G231">
        <v>0.146</v>
      </c>
      <c r="H231">
        <v>18</v>
      </c>
      <c r="I231">
        <v>90.6</v>
      </c>
      <c r="J231">
        <v>6.34</v>
      </c>
      <c r="K231">
        <v>1</v>
      </c>
      <c r="L231">
        <v>3.8</v>
      </c>
      <c r="M231">
        <v>712219.81</v>
      </c>
      <c r="N231">
        <v>85906.54</v>
      </c>
    </row>
    <row r="232" customFormat="1" spans="1:14">
      <c r="A232" t="s">
        <v>79</v>
      </c>
      <c r="B232" s="188">
        <v>45689</v>
      </c>
      <c r="C232" t="s">
        <v>17</v>
      </c>
      <c r="D232" t="s">
        <v>20</v>
      </c>
      <c r="E232">
        <v>27194.64</v>
      </c>
      <c r="F232">
        <v>7404</v>
      </c>
      <c r="G232">
        <v>0.088</v>
      </c>
      <c r="H232">
        <v>18</v>
      </c>
      <c r="I232">
        <v>90.2</v>
      </c>
      <c r="J232">
        <v>1.2</v>
      </c>
      <c r="K232">
        <v>0</v>
      </c>
      <c r="L232">
        <v>3.4</v>
      </c>
      <c r="M232">
        <v>672670.54</v>
      </c>
      <c r="N232">
        <v>132684.18</v>
      </c>
    </row>
    <row r="233" customFormat="1" spans="1:14">
      <c r="A233" t="s">
        <v>79</v>
      </c>
      <c r="B233" s="188">
        <v>45717</v>
      </c>
      <c r="C233" t="s">
        <v>17</v>
      </c>
      <c r="D233" t="s">
        <v>20</v>
      </c>
      <c r="E233">
        <v>66962.74</v>
      </c>
      <c r="F233">
        <v>7880</v>
      </c>
      <c r="G233">
        <v>0.116</v>
      </c>
      <c r="H233">
        <v>19</v>
      </c>
      <c r="I233">
        <v>90.4</v>
      </c>
      <c r="J233">
        <v>4.5</v>
      </c>
      <c r="K233">
        <v>0</v>
      </c>
      <c r="L233">
        <v>3.3</v>
      </c>
      <c r="M233">
        <v>732667.92</v>
      </c>
      <c r="N233">
        <v>128654.46</v>
      </c>
    </row>
    <row r="234" customFormat="1" spans="1:14">
      <c r="A234" t="s">
        <v>79</v>
      </c>
      <c r="B234" s="188">
        <v>45748</v>
      </c>
      <c r="C234" t="s">
        <v>17</v>
      </c>
      <c r="D234" t="s">
        <v>20</v>
      </c>
      <c r="E234">
        <v>73540.99</v>
      </c>
      <c r="F234">
        <v>8773</v>
      </c>
      <c r="G234">
        <v>0.035</v>
      </c>
      <c r="H234">
        <v>21</v>
      </c>
      <c r="I234">
        <v>84.4</v>
      </c>
      <c r="J234">
        <v>6.68</v>
      </c>
      <c r="K234">
        <v>0</v>
      </c>
      <c r="L234">
        <v>3.6</v>
      </c>
      <c r="M234">
        <v>723531.4</v>
      </c>
      <c r="N234">
        <v>108794.85</v>
      </c>
    </row>
    <row r="235" customFormat="1" spans="1:14">
      <c r="A235" t="s">
        <v>80</v>
      </c>
      <c r="B235" s="188">
        <v>45658</v>
      </c>
      <c r="C235" t="s">
        <v>17</v>
      </c>
      <c r="D235" t="s">
        <v>30</v>
      </c>
      <c r="E235">
        <v>68212.29</v>
      </c>
      <c r="F235">
        <v>4713</v>
      </c>
      <c r="G235">
        <v>0.198</v>
      </c>
      <c r="H235">
        <v>15</v>
      </c>
      <c r="I235">
        <v>82.6</v>
      </c>
      <c r="J235">
        <v>4.07</v>
      </c>
      <c r="K235">
        <v>1</v>
      </c>
      <c r="L235">
        <v>3</v>
      </c>
      <c r="M235">
        <v>641564.6</v>
      </c>
      <c r="N235">
        <v>90468.96</v>
      </c>
    </row>
    <row r="236" customFormat="1" spans="1:14">
      <c r="A236" t="s">
        <v>80</v>
      </c>
      <c r="B236" s="188">
        <v>45689</v>
      </c>
      <c r="C236" t="s">
        <v>17</v>
      </c>
      <c r="D236" t="s">
        <v>30</v>
      </c>
      <c r="E236">
        <v>57225.98</v>
      </c>
      <c r="F236">
        <v>2842</v>
      </c>
      <c r="G236">
        <v>0.112</v>
      </c>
      <c r="H236">
        <v>10</v>
      </c>
      <c r="I236">
        <v>79.5</v>
      </c>
      <c r="J236">
        <v>5.45</v>
      </c>
      <c r="K236">
        <v>0</v>
      </c>
      <c r="L236">
        <v>3.4</v>
      </c>
      <c r="M236">
        <v>536545.49</v>
      </c>
      <c r="N236">
        <v>97917.45</v>
      </c>
    </row>
    <row r="237" customFormat="1" spans="1:14">
      <c r="A237" t="s">
        <v>80</v>
      </c>
      <c r="B237" s="188">
        <v>45717</v>
      </c>
      <c r="C237" t="s">
        <v>17</v>
      </c>
      <c r="D237" t="s">
        <v>30</v>
      </c>
      <c r="E237">
        <v>42932.02</v>
      </c>
      <c r="F237">
        <v>3872</v>
      </c>
      <c r="G237">
        <v>0.171</v>
      </c>
      <c r="H237">
        <v>12</v>
      </c>
      <c r="I237">
        <v>83.2</v>
      </c>
      <c r="J237">
        <v>15.58</v>
      </c>
      <c r="K237">
        <v>0</v>
      </c>
      <c r="L237">
        <v>3.3</v>
      </c>
      <c r="M237">
        <v>527681.56</v>
      </c>
      <c r="N237">
        <v>63153.05</v>
      </c>
    </row>
    <row r="238" customFormat="1" spans="1:14">
      <c r="A238" t="s">
        <v>80</v>
      </c>
      <c r="B238" s="188">
        <v>45748</v>
      </c>
      <c r="C238" t="s">
        <v>17</v>
      </c>
      <c r="D238" t="s">
        <v>30</v>
      </c>
      <c r="E238">
        <v>39341.45</v>
      </c>
      <c r="F238">
        <v>1375</v>
      </c>
      <c r="G238">
        <v>0.093</v>
      </c>
      <c r="H238">
        <v>5</v>
      </c>
      <c r="I238">
        <v>95</v>
      </c>
      <c r="J238">
        <v>5.32</v>
      </c>
      <c r="K238">
        <v>0</v>
      </c>
      <c r="L238">
        <v>3.95</v>
      </c>
      <c r="M238">
        <v>529598.94</v>
      </c>
      <c r="N238">
        <v>84334.33</v>
      </c>
    </row>
    <row r="239" customFormat="1" spans="1:14">
      <c r="A239" t="s">
        <v>81</v>
      </c>
      <c r="B239" s="188">
        <v>45658</v>
      </c>
      <c r="C239" t="s">
        <v>17</v>
      </c>
      <c r="D239" t="s">
        <v>20</v>
      </c>
      <c r="E239">
        <v>37324.23</v>
      </c>
      <c r="F239">
        <v>5957</v>
      </c>
      <c r="G239">
        <v>0.071</v>
      </c>
      <c r="H239">
        <v>12</v>
      </c>
      <c r="I239">
        <v>85.9</v>
      </c>
      <c r="J239">
        <v>0.37</v>
      </c>
      <c r="K239">
        <v>0</v>
      </c>
      <c r="L239">
        <v>3.8</v>
      </c>
      <c r="M239">
        <v>570963.31</v>
      </c>
      <c r="N239">
        <v>87342.25</v>
      </c>
    </row>
    <row r="240" customFormat="1" spans="1:14">
      <c r="A240" t="s">
        <v>81</v>
      </c>
      <c r="B240" s="188">
        <v>45689</v>
      </c>
      <c r="C240" t="s">
        <v>17</v>
      </c>
      <c r="D240" t="s">
        <v>20</v>
      </c>
      <c r="E240">
        <v>113736</v>
      </c>
      <c r="F240">
        <v>8961</v>
      </c>
      <c r="G240">
        <v>0.202</v>
      </c>
      <c r="H240">
        <v>24</v>
      </c>
      <c r="I240">
        <v>86.2</v>
      </c>
      <c r="J240">
        <v>21.63</v>
      </c>
      <c r="K240">
        <v>0</v>
      </c>
      <c r="L240">
        <v>4</v>
      </c>
      <c r="M240">
        <v>870937.4</v>
      </c>
      <c r="N240">
        <v>175282.74</v>
      </c>
    </row>
    <row r="241" customFormat="1" spans="1:14">
      <c r="A241" t="s">
        <v>81</v>
      </c>
      <c r="B241" s="188">
        <v>45717</v>
      </c>
      <c r="C241" t="s">
        <v>17</v>
      </c>
      <c r="D241" t="s">
        <v>20</v>
      </c>
      <c r="E241">
        <v>33173.95</v>
      </c>
      <c r="F241">
        <v>6545</v>
      </c>
      <c r="G241">
        <v>0.169</v>
      </c>
      <c r="H241">
        <v>15</v>
      </c>
      <c r="I241">
        <v>84.4</v>
      </c>
      <c r="J241">
        <v>2.48</v>
      </c>
      <c r="K241">
        <v>0</v>
      </c>
      <c r="L241">
        <v>3.9</v>
      </c>
      <c r="M241">
        <v>596969.27</v>
      </c>
      <c r="N241">
        <v>105669.51</v>
      </c>
    </row>
    <row r="242" customFormat="1" spans="1:14">
      <c r="A242" t="s">
        <v>81</v>
      </c>
      <c r="B242" s="188">
        <v>45748</v>
      </c>
      <c r="C242" t="s">
        <v>17</v>
      </c>
      <c r="D242" t="s">
        <v>20</v>
      </c>
      <c r="E242">
        <v>25818.08</v>
      </c>
      <c r="F242">
        <v>5457</v>
      </c>
      <c r="G242">
        <v>0</v>
      </c>
      <c r="H242">
        <v>11</v>
      </c>
      <c r="I242">
        <v>95.4</v>
      </c>
      <c r="J242">
        <v>4.47</v>
      </c>
      <c r="K242">
        <v>0</v>
      </c>
      <c r="L242">
        <v>3.7</v>
      </c>
      <c r="M242">
        <v>647512.85</v>
      </c>
      <c r="N242">
        <v>153835.57</v>
      </c>
    </row>
    <row r="243" customFormat="1" spans="1:14">
      <c r="A243" t="s">
        <v>82</v>
      </c>
      <c r="B243" s="188">
        <v>45658</v>
      </c>
      <c r="C243" t="s">
        <v>29</v>
      </c>
      <c r="D243" t="s">
        <v>18</v>
      </c>
      <c r="E243">
        <v>47241.92</v>
      </c>
      <c r="F243">
        <v>4264</v>
      </c>
      <c r="G243">
        <v>0.069</v>
      </c>
      <c r="H243">
        <v>13</v>
      </c>
      <c r="I243">
        <v>95.3</v>
      </c>
      <c r="J243">
        <v>0.85</v>
      </c>
      <c r="K243">
        <v>0</v>
      </c>
      <c r="L243">
        <v>4.3</v>
      </c>
      <c r="M243">
        <v>658072.14</v>
      </c>
      <c r="N243">
        <v>110595.89</v>
      </c>
    </row>
    <row r="244" customFormat="1" spans="1:14">
      <c r="A244" t="s">
        <v>82</v>
      </c>
      <c r="B244" s="188">
        <v>45689</v>
      </c>
      <c r="C244" t="s">
        <v>29</v>
      </c>
      <c r="D244" t="s">
        <v>18</v>
      </c>
      <c r="E244">
        <v>61650.79</v>
      </c>
      <c r="F244">
        <v>5321</v>
      </c>
      <c r="G244">
        <v>0.126</v>
      </c>
      <c r="H244">
        <v>17</v>
      </c>
      <c r="I244">
        <v>89.2</v>
      </c>
      <c r="J244">
        <v>2.13</v>
      </c>
      <c r="K244">
        <v>0</v>
      </c>
      <c r="L244">
        <v>4</v>
      </c>
      <c r="M244">
        <v>723305.11</v>
      </c>
      <c r="N244">
        <v>128468.7</v>
      </c>
    </row>
    <row r="245" customFormat="1" spans="1:14">
      <c r="A245" t="s">
        <v>82</v>
      </c>
      <c r="B245" s="188">
        <v>45717</v>
      </c>
      <c r="C245" t="s">
        <v>29</v>
      </c>
      <c r="D245" t="s">
        <v>18</v>
      </c>
      <c r="E245">
        <v>62582.71</v>
      </c>
      <c r="F245">
        <v>5479</v>
      </c>
      <c r="G245">
        <v>0.048</v>
      </c>
      <c r="H245">
        <v>16</v>
      </c>
      <c r="I245">
        <v>81.2</v>
      </c>
      <c r="J245">
        <v>1.46</v>
      </c>
      <c r="K245">
        <v>0</v>
      </c>
      <c r="L245">
        <v>4.5</v>
      </c>
      <c r="M245">
        <v>640666.53</v>
      </c>
      <c r="N245">
        <v>134919.16</v>
      </c>
    </row>
    <row r="246" customFormat="1" spans="1:14">
      <c r="A246" t="s">
        <v>82</v>
      </c>
      <c r="B246" s="188">
        <v>45748</v>
      </c>
      <c r="C246" t="s">
        <v>29</v>
      </c>
      <c r="D246" t="s">
        <v>18</v>
      </c>
      <c r="E246">
        <v>47944.14</v>
      </c>
      <c r="F246">
        <v>6169</v>
      </c>
      <c r="G246">
        <v>0.119</v>
      </c>
      <c r="H246">
        <v>17</v>
      </c>
      <c r="I246">
        <v>92.2</v>
      </c>
      <c r="J246">
        <v>3.02</v>
      </c>
      <c r="K246">
        <v>0</v>
      </c>
      <c r="L246">
        <v>4.1</v>
      </c>
      <c r="M246">
        <v>670629.48</v>
      </c>
      <c r="N246">
        <v>100140.8</v>
      </c>
    </row>
    <row r="247" customFormat="1" spans="1:14">
      <c r="A247" t="s">
        <v>83</v>
      </c>
      <c r="B247" s="188">
        <v>45658</v>
      </c>
      <c r="C247" t="s">
        <v>29</v>
      </c>
      <c r="D247" t="s">
        <v>30</v>
      </c>
      <c r="E247">
        <v>46495.4</v>
      </c>
      <c r="F247">
        <v>9908</v>
      </c>
      <c r="G247">
        <v>0.121</v>
      </c>
      <c r="H247">
        <v>22</v>
      </c>
      <c r="I247">
        <v>89.4</v>
      </c>
      <c r="J247">
        <v>3.22</v>
      </c>
      <c r="K247">
        <v>0</v>
      </c>
      <c r="L247">
        <v>3.7</v>
      </c>
      <c r="M247">
        <v>721079.35</v>
      </c>
      <c r="N247">
        <v>115295.05</v>
      </c>
    </row>
    <row r="248" customFormat="1" spans="1:14">
      <c r="A248" t="s">
        <v>83</v>
      </c>
      <c r="B248" s="188">
        <v>45689</v>
      </c>
      <c r="C248" t="s">
        <v>29</v>
      </c>
      <c r="D248" t="s">
        <v>30</v>
      </c>
      <c r="E248">
        <v>72961.95</v>
      </c>
      <c r="F248">
        <v>9996</v>
      </c>
      <c r="G248">
        <v>0.106</v>
      </c>
      <c r="H248">
        <v>22</v>
      </c>
      <c r="I248">
        <v>89.1</v>
      </c>
      <c r="J248">
        <v>15.66</v>
      </c>
      <c r="K248">
        <v>0</v>
      </c>
      <c r="L248">
        <v>3.4</v>
      </c>
      <c r="M248">
        <v>810355.02</v>
      </c>
      <c r="N248">
        <v>131510</v>
      </c>
    </row>
    <row r="249" customFormat="1" spans="1:14">
      <c r="A249" t="s">
        <v>83</v>
      </c>
      <c r="B249" s="188">
        <v>45717</v>
      </c>
      <c r="C249" t="s">
        <v>29</v>
      </c>
      <c r="D249" t="s">
        <v>30</v>
      </c>
      <c r="E249">
        <v>59060.05</v>
      </c>
      <c r="F249">
        <v>9702</v>
      </c>
      <c r="G249">
        <v>0.201</v>
      </c>
      <c r="H249">
        <v>23</v>
      </c>
      <c r="I249">
        <v>80.9</v>
      </c>
      <c r="J249">
        <v>6.96</v>
      </c>
      <c r="K249">
        <v>0</v>
      </c>
      <c r="L249">
        <v>3.2</v>
      </c>
      <c r="M249">
        <v>761919.25</v>
      </c>
      <c r="N249">
        <v>111893.06</v>
      </c>
    </row>
    <row r="250" customFormat="1" spans="1:14">
      <c r="A250" t="s">
        <v>83</v>
      </c>
      <c r="B250" s="188">
        <v>45748</v>
      </c>
      <c r="C250" t="s">
        <v>29</v>
      </c>
      <c r="D250" t="s">
        <v>30</v>
      </c>
      <c r="E250">
        <v>26248.1</v>
      </c>
      <c r="F250">
        <v>9314</v>
      </c>
      <c r="G250">
        <v>0.186</v>
      </c>
      <c r="H250">
        <v>21</v>
      </c>
      <c r="I250">
        <v>83.7</v>
      </c>
      <c r="J250">
        <v>4.62</v>
      </c>
      <c r="K250">
        <v>0</v>
      </c>
      <c r="L250">
        <v>3.3</v>
      </c>
      <c r="M250">
        <v>737070.18</v>
      </c>
      <c r="N250">
        <v>117593.97</v>
      </c>
    </row>
    <row r="251" customFormat="1" spans="1:14">
      <c r="A251" t="s">
        <v>84</v>
      </c>
      <c r="B251" s="188">
        <v>45658</v>
      </c>
      <c r="C251" t="s">
        <v>26</v>
      </c>
      <c r="D251" t="s">
        <v>23</v>
      </c>
      <c r="E251">
        <v>69900.12</v>
      </c>
      <c r="F251">
        <v>8055</v>
      </c>
      <c r="G251">
        <v>0.281</v>
      </c>
      <c r="H251">
        <v>22</v>
      </c>
      <c r="I251">
        <v>85.6</v>
      </c>
      <c r="J251">
        <v>10.68</v>
      </c>
      <c r="K251">
        <v>1</v>
      </c>
      <c r="L251">
        <v>2.9</v>
      </c>
      <c r="M251">
        <v>776992.93</v>
      </c>
      <c r="N251">
        <v>101598.32</v>
      </c>
    </row>
    <row r="252" customFormat="1" spans="1:14">
      <c r="A252" t="s">
        <v>84</v>
      </c>
      <c r="B252" s="188">
        <v>45689</v>
      </c>
      <c r="C252" t="s">
        <v>26</v>
      </c>
      <c r="D252" t="s">
        <v>23</v>
      </c>
      <c r="E252">
        <v>51781.6</v>
      </c>
      <c r="F252">
        <v>5648</v>
      </c>
      <c r="G252">
        <v>0.059</v>
      </c>
      <c r="H252">
        <v>13</v>
      </c>
      <c r="I252">
        <v>85.5</v>
      </c>
      <c r="J252">
        <v>4.04</v>
      </c>
      <c r="K252">
        <v>0</v>
      </c>
      <c r="L252">
        <v>3.7</v>
      </c>
      <c r="M252">
        <v>676337.41</v>
      </c>
      <c r="N252">
        <v>104355.77</v>
      </c>
    </row>
    <row r="253" customFormat="1" spans="1:14">
      <c r="A253" t="s">
        <v>84</v>
      </c>
      <c r="B253" s="188">
        <v>45717</v>
      </c>
      <c r="C253" t="s">
        <v>26</v>
      </c>
      <c r="D253" t="s">
        <v>23</v>
      </c>
      <c r="E253">
        <v>70799.64</v>
      </c>
      <c r="F253">
        <v>10076</v>
      </c>
      <c r="G253">
        <v>0.152</v>
      </c>
      <c r="H253">
        <v>24</v>
      </c>
      <c r="I253">
        <v>84.8</v>
      </c>
      <c r="J253">
        <v>1.87</v>
      </c>
      <c r="K253">
        <v>0</v>
      </c>
      <c r="L253">
        <v>3.5</v>
      </c>
      <c r="M253">
        <v>828219.67</v>
      </c>
      <c r="N253">
        <v>179806.87</v>
      </c>
    </row>
    <row r="254" customFormat="1" spans="1:14">
      <c r="A254" t="s">
        <v>84</v>
      </c>
      <c r="B254" s="188">
        <v>45748</v>
      </c>
      <c r="C254" t="s">
        <v>26</v>
      </c>
      <c r="D254" t="s">
        <v>23</v>
      </c>
      <c r="E254">
        <v>53546.34</v>
      </c>
      <c r="F254">
        <v>8004</v>
      </c>
      <c r="G254">
        <v>0</v>
      </c>
      <c r="H254">
        <v>21</v>
      </c>
      <c r="I254">
        <v>95.2</v>
      </c>
      <c r="J254">
        <v>2.83</v>
      </c>
      <c r="K254">
        <v>0</v>
      </c>
      <c r="L254">
        <v>3</v>
      </c>
      <c r="M254">
        <v>763159.92</v>
      </c>
      <c r="N254">
        <v>177104.87</v>
      </c>
    </row>
    <row r="255" customFormat="1" spans="1:14">
      <c r="A255" t="s">
        <v>85</v>
      </c>
      <c r="B255" s="188">
        <v>45658</v>
      </c>
      <c r="C255" t="s">
        <v>17</v>
      </c>
      <c r="D255" t="s">
        <v>20</v>
      </c>
      <c r="E255">
        <v>76942.2</v>
      </c>
      <c r="F255">
        <v>8934</v>
      </c>
      <c r="G255">
        <v>0.084</v>
      </c>
      <c r="H255">
        <v>20</v>
      </c>
      <c r="I255">
        <v>91</v>
      </c>
      <c r="J255">
        <v>0.95</v>
      </c>
      <c r="K255">
        <v>0</v>
      </c>
      <c r="L255">
        <v>3.2</v>
      </c>
      <c r="M255">
        <v>802001.68</v>
      </c>
      <c r="N255">
        <v>159715.82</v>
      </c>
    </row>
    <row r="256" customFormat="1" spans="1:14">
      <c r="A256" t="s">
        <v>85</v>
      </c>
      <c r="B256" s="188">
        <v>45689</v>
      </c>
      <c r="C256" t="s">
        <v>17</v>
      </c>
      <c r="D256" t="s">
        <v>20</v>
      </c>
      <c r="E256">
        <v>48060.78</v>
      </c>
      <c r="F256">
        <v>8733</v>
      </c>
      <c r="G256">
        <v>0</v>
      </c>
      <c r="H256">
        <v>20</v>
      </c>
      <c r="I256">
        <v>89.9</v>
      </c>
      <c r="J256">
        <v>0.8</v>
      </c>
      <c r="K256">
        <v>0</v>
      </c>
      <c r="L256">
        <v>3.4</v>
      </c>
      <c r="M256">
        <v>750471.34</v>
      </c>
      <c r="N256">
        <v>133788.04</v>
      </c>
    </row>
    <row r="257" customFormat="1" spans="1:14">
      <c r="A257" t="s">
        <v>85</v>
      </c>
      <c r="B257" s="188">
        <v>45717</v>
      </c>
      <c r="C257" t="s">
        <v>17</v>
      </c>
      <c r="D257" t="s">
        <v>20</v>
      </c>
      <c r="E257">
        <v>57390.04</v>
      </c>
      <c r="F257">
        <v>7374</v>
      </c>
      <c r="G257">
        <v>0.21</v>
      </c>
      <c r="H257">
        <v>21</v>
      </c>
      <c r="I257">
        <v>91.8</v>
      </c>
      <c r="J257">
        <v>0.2</v>
      </c>
      <c r="K257">
        <v>0</v>
      </c>
      <c r="L257">
        <v>3.1</v>
      </c>
      <c r="M257">
        <v>679230.86</v>
      </c>
      <c r="N257">
        <v>106927.58</v>
      </c>
    </row>
    <row r="258" customFormat="1" spans="1:14">
      <c r="A258" t="s">
        <v>85</v>
      </c>
      <c r="B258" s="188">
        <v>45748</v>
      </c>
      <c r="C258" t="s">
        <v>17</v>
      </c>
      <c r="D258" t="s">
        <v>20</v>
      </c>
      <c r="E258">
        <v>21536.18</v>
      </c>
      <c r="F258">
        <v>8119</v>
      </c>
      <c r="G258">
        <v>0.227</v>
      </c>
      <c r="H258">
        <v>20</v>
      </c>
      <c r="I258">
        <v>90.4</v>
      </c>
      <c r="J258">
        <v>1.7</v>
      </c>
      <c r="K258">
        <v>0</v>
      </c>
      <c r="L258">
        <v>3.3</v>
      </c>
      <c r="M258">
        <v>679888.74</v>
      </c>
      <c r="N258">
        <v>83406.89</v>
      </c>
    </row>
    <row r="259" customFormat="1" spans="1:14">
      <c r="A259" t="s">
        <v>86</v>
      </c>
      <c r="B259" s="188">
        <v>45658</v>
      </c>
      <c r="C259" t="s">
        <v>22</v>
      </c>
      <c r="D259" t="s">
        <v>20</v>
      </c>
      <c r="E259">
        <v>40923.67</v>
      </c>
      <c r="F259">
        <v>3875</v>
      </c>
      <c r="G259">
        <v>0.15</v>
      </c>
      <c r="H259">
        <v>10</v>
      </c>
      <c r="I259">
        <v>96.1</v>
      </c>
      <c r="J259">
        <v>4.47</v>
      </c>
      <c r="K259">
        <v>0</v>
      </c>
      <c r="L259">
        <v>3.8</v>
      </c>
      <c r="M259">
        <v>606783.67</v>
      </c>
      <c r="N259">
        <v>74515.87</v>
      </c>
    </row>
    <row r="260" customFormat="1" spans="1:14">
      <c r="A260" t="s">
        <v>86</v>
      </c>
      <c r="B260" s="188">
        <v>45689</v>
      </c>
      <c r="C260" t="s">
        <v>22</v>
      </c>
      <c r="D260" t="s">
        <v>20</v>
      </c>
      <c r="E260">
        <v>72932.55</v>
      </c>
      <c r="F260">
        <v>5765</v>
      </c>
      <c r="G260">
        <v>0.026</v>
      </c>
      <c r="H260">
        <v>17</v>
      </c>
      <c r="I260">
        <v>81.8</v>
      </c>
      <c r="J260">
        <v>5.1</v>
      </c>
      <c r="K260">
        <v>0</v>
      </c>
      <c r="L260">
        <v>3.6</v>
      </c>
      <c r="M260">
        <v>642751.42</v>
      </c>
      <c r="N260">
        <v>131942.15</v>
      </c>
    </row>
    <row r="261" customFormat="1" spans="1:14">
      <c r="A261" t="s">
        <v>86</v>
      </c>
      <c r="B261" s="188">
        <v>45717</v>
      </c>
      <c r="C261" t="s">
        <v>22</v>
      </c>
      <c r="D261" t="s">
        <v>20</v>
      </c>
      <c r="E261">
        <v>38361.93</v>
      </c>
      <c r="F261">
        <v>6322</v>
      </c>
      <c r="G261">
        <v>0.273</v>
      </c>
      <c r="H261">
        <v>15</v>
      </c>
      <c r="I261">
        <v>88.4</v>
      </c>
      <c r="J261">
        <v>0.83</v>
      </c>
      <c r="K261">
        <v>0</v>
      </c>
      <c r="L261">
        <v>4</v>
      </c>
      <c r="M261">
        <v>647953.78</v>
      </c>
      <c r="N261">
        <v>118497.43</v>
      </c>
    </row>
    <row r="262" customFormat="1" spans="1:14">
      <c r="A262" t="s">
        <v>86</v>
      </c>
      <c r="B262" s="188">
        <v>45748</v>
      </c>
      <c r="C262" t="s">
        <v>22</v>
      </c>
      <c r="D262" t="s">
        <v>20</v>
      </c>
      <c r="E262">
        <v>97480.94</v>
      </c>
      <c r="F262">
        <v>6840</v>
      </c>
      <c r="G262">
        <v>0.087</v>
      </c>
      <c r="H262">
        <v>14</v>
      </c>
      <c r="I262">
        <v>79.2</v>
      </c>
      <c r="J262">
        <v>1.14</v>
      </c>
      <c r="K262">
        <v>0</v>
      </c>
      <c r="L262">
        <v>4</v>
      </c>
      <c r="M262">
        <v>729440.45</v>
      </c>
      <c r="N262">
        <v>87614.29</v>
      </c>
    </row>
    <row r="263" customFormat="1" spans="1:14">
      <c r="A263" t="s">
        <v>87</v>
      </c>
      <c r="B263" s="188">
        <v>45658</v>
      </c>
      <c r="C263" t="s">
        <v>26</v>
      </c>
      <c r="D263" t="s">
        <v>23</v>
      </c>
      <c r="E263">
        <v>81801.8</v>
      </c>
      <c r="F263">
        <v>6782</v>
      </c>
      <c r="G263">
        <v>0.05</v>
      </c>
      <c r="H263">
        <v>16</v>
      </c>
      <c r="I263">
        <v>99</v>
      </c>
      <c r="J263">
        <v>9.54</v>
      </c>
      <c r="K263">
        <v>0</v>
      </c>
      <c r="L263">
        <v>3.7</v>
      </c>
      <c r="M263">
        <v>764949</v>
      </c>
      <c r="N263">
        <v>148322.43</v>
      </c>
    </row>
    <row r="264" customFormat="1" spans="1:14">
      <c r="A264" t="s">
        <v>87</v>
      </c>
      <c r="B264" s="188">
        <v>45689</v>
      </c>
      <c r="C264" t="s">
        <v>26</v>
      </c>
      <c r="D264" t="s">
        <v>23</v>
      </c>
      <c r="E264">
        <v>63582.11</v>
      </c>
      <c r="F264">
        <v>6856</v>
      </c>
      <c r="G264">
        <v>0.074</v>
      </c>
      <c r="H264">
        <v>17</v>
      </c>
      <c r="I264">
        <v>89.5</v>
      </c>
      <c r="J264">
        <v>5.48</v>
      </c>
      <c r="K264">
        <v>0</v>
      </c>
      <c r="L264">
        <v>3.2</v>
      </c>
      <c r="M264">
        <v>799046.94</v>
      </c>
      <c r="N264">
        <v>144553.64</v>
      </c>
    </row>
    <row r="265" customFormat="1" spans="1:14">
      <c r="A265" t="s">
        <v>87</v>
      </c>
      <c r="B265" s="188">
        <v>45717</v>
      </c>
      <c r="C265" t="s">
        <v>26</v>
      </c>
      <c r="D265" t="s">
        <v>23</v>
      </c>
      <c r="E265">
        <v>75412.74</v>
      </c>
      <c r="F265">
        <v>5641</v>
      </c>
      <c r="G265">
        <v>0.059</v>
      </c>
      <c r="H265">
        <v>13</v>
      </c>
      <c r="I265">
        <v>87.9</v>
      </c>
      <c r="J265">
        <v>0.84</v>
      </c>
      <c r="K265">
        <v>0</v>
      </c>
      <c r="L265">
        <v>3.6</v>
      </c>
      <c r="M265">
        <v>720079.54</v>
      </c>
      <c r="N265">
        <v>119499.47</v>
      </c>
    </row>
    <row r="266" customFormat="1" spans="1:14">
      <c r="A266" t="s">
        <v>87</v>
      </c>
      <c r="B266" s="188">
        <v>45748</v>
      </c>
      <c r="C266" t="s">
        <v>26</v>
      </c>
      <c r="D266" t="s">
        <v>23</v>
      </c>
      <c r="E266">
        <v>36290.08</v>
      </c>
      <c r="F266">
        <v>5787</v>
      </c>
      <c r="G266">
        <v>0</v>
      </c>
      <c r="H266">
        <v>17</v>
      </c>
      <c r="I266">
        <v>88.3</v>
      </c>
      <c r="J266">
        <v>4.19</v>
      </c>
      <c r="K266">
        <v>0</v>
      </c>
      <c r="L266">
        <v>4.1</v>
      </c>
      <c r="M266">
        <v>612390.14</v>
      </c>
      <c r="N266">
        <v>108985.74</v>
      </c>
    </row>
    <row r="267" customFormat="1" spans="1:14">
      <c r="A267" t="s">
        <v>88</v>
      </c>
      <c r="B267" s="188">
        <v>45658</v>
      </c>
      <c r="C267" t="s">
        <v>26</v>
      </c>
      <c r="D267" t="s">
        <v>30</v>
      </c>
      <c r="E267">
        <v>65272.58</v>
      </c>
      <c r="F267">
        <v>8165</v>
      </c>
      <c r="G267">
        <v>0.051</v>
      </c>
      <c r="H267">
        <v>19</v>
      </c>
      <c r="I267">
        <v>87.8</v>
      </c>
      <c r="J267">
        <v>1.26</v>
      </c>
      <c r="K267">
        <v>1</v>
      </c>
      <c r="L267">
        <v>4.3</v>
      </c>
      <c r="M267">
        <v>840108.12</v>
      </c>
      <c r="N267">
        <v>126587.01</v>
      </c>
    </row>
    <row r="268" customFormat="1" spans="1:14">
      <c r="A268" t="s">
        <v>88</v>
      </c>
      <c r="B268" s="188">
        <v>45689</v>
      </c>
      <c r="C268" t="s">
        <v>26</v>
      </c>
      <c r="D268" t="s">
        <v>30</v>
      </c>
      <c r="E268">
        <v>28670.43</v>
      </c>
      <c r="F268">
        <v>7574</v>
      </c>
      <c r="G268">
        <v>0.114</v>
      </c>
      <c r="H268">
        <v>19</v>
      </c>
      <c r="I268">
        <v>82.7</v>
      </c>
      <c r="J268">
        <v>2.74</v>
      </c>
      <c r="K268">
        <v>0</v>
      </c>
      <c r="L268">
        <v>4.6</v>
      </c>
      <c r="M268">
        <v>697888.09</v>
      </c>
      <c r="N268">
        <v>116249.87</v>
      </c>
    </row>
    <row r="269" customFormat="1" spans="1:14">
      <c r="A269" t="s">
        <v>88</v>
      </c>
      <c r="B269" s="188">
        <v>45717</v>
      </c>
      <c r="C269" t="s">
        <v>26</v>
      </c>
      <c r="D269" t="s">
        <v>30</v>
      </c>
      <c r="E269">
        <v>44189.34</v>
      </c>
      <c r="F269">
        <v>8634</v>
      </c>
      <c r="G269">
        <v>0.143</v>
      </c>
      <c r="H269">
        <v>19</v>
      </c>
      <c r="I269">
        <v>87.5</v>
      </c>
      <c r="J269">
        <v>3.69</v>
      </c>
      <c r="K269">
        <v>0</v>
      </c>
      <c r="L269">
        <v>4.4</v>
      </c>
      <c r="M269">
        <v>746115.59</v>
      </c>
      <c r="N269">
        <v>94662.96</v>
      </c>
    </row>
    <row r="270" customFormat="1" spans="1:14">
      <c r="A270" t="s">
        <v>88</v>
      </c>
      <c r="B270" s="188">
        <v>45748</v>
      </c>
      <c r="C270" t="s">
        <v>26</v>
      </c>
      <c r="D270" t="s">
        <v>30</v>
      </c>
      <c r="E270">
        <v>38397.82</v>
      </c>
      <c r="F270">
        <v>7836</v>
      </c>
      <c r="G270">
        <v>0.007</v>
      </c>
      <c r="H270">
        <v>21</v>
      </c>
      <c r="I270">
        <v>92.2</v>
      </c>
      <c r="J270">
        <v>1.82</v>
      </c>
      <c r="K270">
        <v>0</v>
      </c>
      <c r="L270">
        <v>3.6</v>
      </c>
      <c r="M270">
        <v>776110.32</v>
      </c>
      <c r="N270">
        <v>139676.21</v>
      </c>
    </row>
    <row r="271" customFormat="1" spans="1:14">
      <c r="A271" t="s">
        <v>89</v>
      </c>
      <c r="B271" s="188">
        <v>45658</v>
      </c>
      <c r="C271" t="s">
        <v>29</v>
      </c>
      <c r="D271" t="s">
        <v>20</v>
      </c>
      <c r="E271">
        <v>14519.37</v>
      </c>
      <c r="F271">
        <v>3047</v>
      </c>
      <c r="G271">
        <v>0.135</v>
      </c>
      <c r="H271">
        <v>10</v>
      </c>
      <c r="I271">
        <v>90.3</v>
      </c>
      <c r="J271">
        <v>6.62</v>
      </c>
      <c r="K271">
        <v>0</v>
      </c>
      <c r="L271">
        <v>4.2</v>
      </c>
      <c r="M271">
        <v>528852.62</v>
      </c>
      <c r="N271">
        <v>68426.21</v>
      </c>
    </row>
    <row r="272" customFormat="1" spans="1:14">
      <c r="A272" t="s">
        <v>89</v>
      </c>
      <c r="B272" s="188">
        <v>45689</v>
      </c>
      <c r="C272" t="s">
        <v>29</v>
      </c>
      <c r="D272" t="s">
        <v>20</v>
      </c>
      <c r="E272">
        <v>43288.2</v>
      </c>
      <c r="F272">
        <v>4783</v>
      </c>
      <c r="G272">
        <v>0.169</v>
      </c>
      <c r="H272">
        <v>13</v>
      </c>
      <c r="I272">
        <v>87.3</v>
      </c>
      <c r="J272">
        <v>4.47</v>
      </c>
      <c r="K272">
        <v>0</v>
      </c>
      <c r="L272">
        <v>4.2</v>
      </c>
      <c r="M272">
        <v>605751.33</v>
      </c>
      <c r="N272">
        <v>60685.53</v>
      </c>
    </row>
    <row r="273" customFormat="1" spans="1:14">
      <c r="A273" t="s">
        <v>89</v>
      </c>
      <c r="B273" s="188">
        <v>45717</v>
      </c>
      <c r="C273" t="s">
        <v>29</v>
      </c>
      <c r="D273" t="s">
        <v>20</v>
      </c>
      <c r="E273">
        <v>51450.55</v>
      </c>
      <c r="F273">
        <v>4902</v>
      </c>
      <c r="G273">
        <v>0.086</v>
      </c>
      <c r="H273">
        <v>11</v>
      </c>
      <c r="I273">
        <v>83.7</v>
      </c>
      <c r="J273">
        <v>6.92</v>
      </c>
      <c r="K273">
        <v>1</v>
      </c>
      <c r="L273">
        <v>4.2</v>
      </c>
      <c r="M273">
        <v>677640.65</v>
      </c>
      <c r="N273">
        <v>111610.89</v>
      </c>
    </row>
    <row r="274" customFormat="1" spans="1:14">
      <c r="A274" t="s">
        <v>89</v>
      </c>
      <c r="B274" s="188">
        <v>45748</v>
      </c>
      <c r="C274" t="s">
        <v>29</v>
      </c>
      <c r="D274" t="s">
        <v>20</v>
      </c>
      <c r="E274">
        <v>58688.26</v>
      </c>
      <c r="F274">
        <v>4022</v>
      </c>
      <c r="G274">
        <v>0.217</v>
      </c>
      <c r="H274">
        <v>12</v>
      </c>
      <c r="I274">
        <v>93.8</v>
      </c>
      <c r="J274">
        <v>11.78</v>
      </c>
      <c r="K274">
        <v>0</v>
      </c>
      <c r="L274">
        <v>3.7</v>
      </c>
      <c r="M274">
        <v>636613.23</v>
      </c>
      <c r="N274">
        <v>78908.35</v>
      </c>
    </row>
    <row r="275" customFormat="1" spans="1:14">
      <c r="A275" t="s">
        <v>90</v>
      </c>
      <c r="B275" s="188">
        <v>45658</v>
      </c>
      <c r="C275" t="s">
        <v>17</v>
      </c>
      <c r="D275" t="s">
        <v>20</v>
      </c>
      <c r="E275">
        <v>58981.91</v>
      </c>
      <c r="F275">
        <v>7324</v>
      </c>
      <c r="G275">
        <v>0.094</v>
      </c>
      <c r="H275">
        <v>15</v>
      </c>
      <c r="I275">
        <v>95.8</v>
      </c>
      <c r="J275">
        <v>0.5</v>
      </c>
      <c r="K275">
        <v>0</v>
      </c>
      <c r="L275">
        <v>3.5</v>
      </c>
      <c r="M275">
        <v>708985.19</v>
      </c>
      <c r="N275">
        <v>125368.16</v>
      </c>
    </row>
    <row r="276" customFormat="1" spans="1:14">
      <c r="A276" t="s">
        <v>90</v>
      </c>
      <c r="B276" s="188">
        <v>45689</v>
      </c>
      <c r="C276" t="s">
        <v>17</v>
      </c>
      <c r="D276" t="s">
        <v>20</v>
      </c>
      <c r="E276">
        <v>73454.54</v>
      </c>
      <c r="F276">
        <v>8129</v>
      </c>
      <c r="G276">
        <v>0.211</v>
      </c>
      <c r="H276">
        <v>20</v>
      </c>
      <c r="I276">
        <v>85.2</v>
      </c>
      <c r="J276">
        <v>0.88</v>
      </c>
      <c r="K276">
        <v>0</v>
      </c>
      <c r="L276">
        <v>3.7</v>
      </c>
      <c r="M276">
        <v>767792.94</v>
      </c>
      <c r="N276">
        <v>96235.77</v>
      </c>
    </row>
    <row r="277" customFormat="1" spans="1:14">
      <c r="A277" t="s">
        <v>90</v>
      </c>
      <c r="B277" s="188">
        <v>45717</v>
      </c>
      <c r="C277" t="s">
        <v>17</v>
      </c>
      <c r="D277" t="s">
        <v>20</v>
      </c>
      <c r="E277">
        <v>56602.39</v>
      </c>
      <c r="F277">
        <v>7969</v>
      </c>
      <c r="G277">
        <v>0.17</v>
      </c>
      <c r="H277">
        <v>21</v>
      </c>
      <c r="I277">
        <v>88.3</v>
      </c>
      <c r="J277">
        <v>2.25</v>
      </c>
      <c r="K277">
        <v>0</v>
      </c>
      <c r="L277">
        <v>3.7</v>
      </c>
      <c r="M277">
        <v>745580.51</v>
      </c>
      <c r="N277">
        <v>116273.68</v>
      </c>
    </row>
    <row r="278" customFormat="1" spans="1:14">
      <c r="A278" t="s">
        <v>90</v>
      </c>
      <c r="B278" s="188">
        <v>45748</v>
      </c>
      <c r="C278" t="s">
        <v>17</v>
      </c>
      <c r="D278" t="s">
        <v>20</v>
      </c>
      <c r="E278">
        <v>67722.29</v>
      </c>
      <c r="F278">
        <v>7240</v>
      </c>
      <c r="G278">
        <v>0.026</v>
      </c>
      <c r="H278">
        <v>15</v>
      </c>
      <c r="I278">
        <v>92.9</v>
      </c>
      <c r="J278">
        <v>0.29</v>
      </c>
      <c r="K278">
        <v>0</v>
      </c>
      <c r="L278">
        <v>3.5</v>
      </c>
      <c r="M278">
        <v>762328.31</v>
      </c>
      <c r="N278">
        <v>159158.19</v>
      </c>
    </row>
    <row r="279" customFormat="1" spans="1:14">
      <c r="A279" t="s">
        <v>91</v>
      </c>
      <c r="B279" s="188">
        <v>45658</v>
      </c>
      <c r="C279" t="s">
        <v>17</v>
      </c>
      <c r="D279" t="s">
        <v>30</v>
      </c>
      <c r="E279">
        <v>48752.92</v>
      </c>
      <c r="F279">
        <v>8052</v>
      </c>
      <c r="G279">
        <v>0.106</v>
      </c>
      <c r="H279">
        <v>16</v>
      </c>
      <c r="I279">
        <v>94.9</v>
      </c>
      <c r="J279">
        <v>0.65</v>
      </c>
      <c r="K279">
        <v>0</v>
      </c>
      <c r="L279">
        <v>3.6</v>
      </c>
      <c r="M279">
        <v>660633.99</v>
      </c>
      <c r="N279">
        <v>118768.66</v>
      </c>
    </row>
    <row r="280" customFormat="1" spans="1:14">
      <c r="A280" t="s">
        <v>91</v>
      </c>
      <c r="B280" s="188">
        <v>45689</v>
      </c>
      <c r="C280" t="s">
        <v>17</v>
      </c>
      <c r="D280" t="s">
        <v>30</v>
      </c>
      <c r="E280">
        <v>23914.97</v>
      </c>
      <c r="F280">
        <v>8018</v>
      </c>
      <c r="G280">
        <v>0.139</v>
      </c>
      <c r="H280">
        <v>20</v>
      </c>
      <c r="I280">
        <v>89</v>
      </c>
      <c r="J280">
        <v>0.2</v>
      </c>
      <c r="K280">
        <v>0</v>
      </c>
      <c r="L280">
        <v>3.5</v>
      </c>
      <c r="M280">
        <v>739374.56</v>
      </c>
      <c r="N280">
        <v>121032.29</v>
      </c>
    </row>
    <row r="281" customFormat="1" spans="1:14">
      <c r="A281" t="s">
        <v>91</v>
      </c>
      <c r="B281" s="188">
        <v>45717</v>
      </c>
      <c r="C281" t="s">
        <v>17</v>
      </c>
      <c r="D281" t="s">
        <v>30</v>
      </c>
      <c r="E281">
        <v>61995.3</v>
      </c>
      <c r="F281">
        <v>10192</v>
      </c>
      <c r="G281">
        <v>0.198</v>
      </c>
      <c r="H281">
        <v>21</v>
      </c>
      <c r="I281">
        <v>87.6</v>
      </c>
      <c r="J281">
        <v>3.63</v>
      </c>
      <c r="K281">
        <v>1</v>
      </c>
      <c r="L281">
        <v>3.8</v>
      </c>
      <c r="M281">
        <v>799756.46</v>
      </c>
      <c r="N281">
        <v>105052.93</v>
      </c>
    </row>
    <row r="282" customFormat="1" spans="1:14">
      <c r="A282" t="s">
        <v>91</v>
      </c>
      <c r="B282" s="188">
        <v>45748</v>
      </c>
      <c r="C282" t="s">
        <v>17</v>
      </c>
      <c r="D282" t="s">
        <v>30</v>
      </c>
      <c r="E282">
        <v>29344.93</v>
      </c>
      <c r="F282">
        <v>7446</v>
      </c>
      <c r="G282">
        <v>0.111</v>
      </c>
      <c r="H282">
        <v>15</v>
      </c>
      <c r="I282">
        <v>86.2</v>
      </c>
      <c r="J282">
        <v>0.2</v>
      </c>
      <c r="K282">
        <v>0</v>
      </c>
      <c r="L282">
        <v>3.2</v>
      </c>
      <c r="M282">
        <v>593343</v>
      </c>
      <c r="N282">
        <v>82832.24</v>
      </c>
    </row>
    <row r="283" customFormat="1" spans="1:14">
      <c r="A283" t="s">
        <v>92</v>
      </c>
      <c r="B283" s="188">
        <v>45658</v>
      </c>
      <c r="C283" t="s">
        <v>29</v>
      </c>
      <c r="D283" t="s">
        <v>20</v>
      </c>
      <c r="E283">
        <v>50532.17</v>
      </c>
      <c r="F283">
        <v>5689</v>
      </c>
      <c r="G283">
        <v>0.052</v>
      </c>
      <c r="H283">
        <v>17</v>
      </c>
      <c r="I283">
        <v>85.6</v>
      </c>
      <c r="J283">
        <v>6.23</v>
      </c>
      <c r="K283">
        <v>0</v>
      </c>
      <c r="L283">
        <v>3.3</v>
      </c>
      <c r="M283">
        <v>645039.97</v>
      </c>
      <c r="N283">
        <v>83093.33</v>
      </c>
    </row>
    <row r="284" customFormat="1" spans="1:14">
      <c r="A284" t="s">
        <v>92</v>
      </c>
      <c r="B284" s="188">
        <v>45689</v>
      </c>
      <c r="C284" t="s">
        <v>29</v>
      </c>
      <c r="D284" t="s">
        <v>20</v>
      </c>
      <c r="E284">
        <v>17562.57</v>
      </c>
      <c r="F284">
        <v>3326</v>
      </c>
      <c r="G284">
        <v>0.153</v>
      </c>
      <c r="H284">
        <v>14</v>
      </c>
      <c r="I284">
        <v>88.1</v>
      </c>
      <c r="J284">
        <v>1.04</v>
      </c>
      <c r="K284">
        <v>0</v>
      </c>
      <c r="L284">
        <v>3.1</v>
      </c>
      <c r="M284">
        <v>561597.33</v>
      </c>
      <c r="N284">
        <v>75072.75</v>
      </c>
    </row>
    <row r="285" customFormat="1" spans="1:14">
      <c r="A285" t="s">
        <v>92</v>
      </c>
      <c r="B285" s="188">
        <v>45717</v>
      </c>
      <c r="C285" t="s">
        <v>29</v>
      </c>
      <c r="D285" t="s">
        <v>20</v>
      </c>
      <c r="E285">
        <v>47648.71</v>
      </c>
      <c r="F285">
        <v>5767</v>
      </c>
      <c r="G285">
        <v>0.141</v>
      </c>
      <c r="H285">
        <v>17</v>
      </c>
      <c r="I285">
        <v>89.8</v>
      </c>
      <c r="J285">
        <v>1.76</v>
      </c>
      <c r="K285">
        <v>0</v>
      </c>
      <c r="L285">
        <v>3.1</v>
      </c>
      <c r="M285">
        <v>635837.74</v>
      </c>
      <c r="N285">
        <v>114740.64</v>
      </c>
    </row>
    <row r="286" customFormat="1" spans="1:14">
      <c r="A286" t="s">
        <v>92</v>
      </c>
      <c r="B286" s="188">
        <v>45748</v>
      </c>
      <c r="C286" t="s">
        <v>29</v>
      </c>
      <c r="D286" t="s">
        <v>20</v>
      </c>
      <c r="E286">
        <v>38297.58</v>
      </c>
      <c r="F286">
        <v>5893</v>
      </c>
      <c r="G286">
        <v>0.247</v>
      </c>
      <c r="H286">
        <v>18</v>
      </c>
      <c r="I286">
        <v>77.6</v>
      </c>
      <c r="J286">
        <v>2.86</v>
      </c>
      <c r="K286">
        <v>0</v>
      </c>
      <c r="L286">
        <v>3</v>
      </c>
      <c r="M286">
        <v>686737.87</v>
      </c>
      <c r="N286">
        <v>83839.67</v>
      </c>
    </row>
    <row r="287" customFormat="1" spans="1:14">
      <c r="A287" t="s">
        <v>93</v>
      </c>
      <c r="B287" s="188">
        <v>45658</v>
      </c>
      <c r="C287" t="s">
        <v>26</v>
      </c>
      <c r="D287" t="s">
        <v>18</v>
      </c>
      <c r="E287">
        <v>61784.11</v>
      </c>
      <c r="F287">
        <v>8564</v>
      </c>
      <c r="G287">
        <v>0.13</v>
      </c>
      <c r="H287">
        <v>17</v>
      </c>
      <c r="I287">
        <v>87.4</v>
      </c>
      <c r="J287">
        <v>18.14</v>
      </c>
      <c r="K287">
        <v>1</v>
      </c>
      <c r="L287">
        <v>3.4</v>
      </c>
      <c r="M287">
        <v>673076.34</v>
      </c>
      <c r="N287">
        <v>93899.76</v>
      </c>
    </row>
    <row r="288" customFormat="1" spans="1:14">
      <c r="A288" t="s">
        <v>93</v>
      </c>
      <c r="B288" s="188">
        <v>45689</v>
      </c>
      <c r="C288" t="s">
        <v>26</v>
      </c>
      <c r="D288" t="s">
        <v>18</v>
      </c>
      <c r="E288">
        <v>36832.33</v>
      </c>
      <c r="F288">
        <v>8001</v>
      </c>
      <c r="G288">
        <v>0</v>
      </c>
      <c r="H288">
        <v>19</v>
      </c>
      <c r="I288">
        <v>88.7</v>
      </c>
      <c r="J288">
        <v>3.39</v>
      </c>
      <c r="K288">
        <v>0</v>
      </c>
      <c r="L288">
        <v>4</v>
      </c>
      <c r="M288">
        <v>738548.42</v>
      </c>
      <c r="N288">
        <v>134282.77</v>
      </c>
    </row>
    <row r="289" customFormat="1" spans="1:14">
      <c r="A289" t="s">
        <v>93</v>
      </c>
      <c r="B289" s="188">
        <v>45717</v>
      </c>
      <c r="C289" t="s">
        <v>26</v>
      </c>
      <c r="D289" t="s">
        <v>18</v>
      </c>
      <c r="E289">
        <v>48609.41</v>
      </c>
      <c r="F289">
        <v>9324</v>
      </c>
      <c r="G289">
        <v>0.213</v>
      </c>
      <c r="H289">
        <v>18</v>
      </c>
      <c r="I289">
        <v>86.5</v>
      </c>
      <c r="J289">
        <v>1.44</v>
      </c>
      <c r="K289">
        <v>0</v>
      </c>
      <c r="L289">
        <v>3.9</v>
      </c>
      <c r="M289">
        <v>756619.77</v>
      </c>
      <c r="N289">
        <v>112057.69</v>
      </c>
    </row>
    <row r="290" customFormat="1" spans="1:14">
      <c r="A290" t="s">
        <v>93</v>
      </c>
      <c r="B290" s="188">
        <v>45748</v>
      </c>
      <c r="C290" t="s">
        <v>26</v>
      </c>
      <c r="D290" t="s">
        <v>18</v>
      </c>
      <c r="E290">
        <v>70284.06</v>
      </c>
      <c r="F290">
        <v>9109</v>
      </c>
      <c r="G290">
        <v>0.004</v>
      </c>
      <c r="H290">
        <v>23</v>
      </c>
      <c r="I290">
        <v>87</v>
      </c>
      <c r="J290">
        <v>3.65</v>
      </c>
      <c r="K290">
        <v>0</v>
      </c>
      <c r="L290">
        <v>3.7</v>
      </c>
      <c r="M290">
        <v>761122.42</v>
      </c>
      <c r="N290">
        <v>149802.04</v>
      </c>
    </row>
    <row r="291" customFormat="1" spans="1:14">
      <c r="A291" t="s">
        <v>94</v>
      </c>
      <c r="B291" s="188">
        <v>45658</v>
      </c>
      <c r="C291" t="s">
        <v>26</v>
      </c>
      <c r="D291" t="s">
        <v>20</v>
      </c>
      <c r="E291">
        <v>45940.39</v>
      </c>
      <c r="F291">
        <v>4022</v>
      </c>
      <c r="G291">
        <v>0.069</v>
      </c>
      <c r="H291">
        <v>10</v>
      </c>
      <c r="I291">
        <v>83</v>
      </c>
      <c r="J291">
        <v>1.23</v>
      </c>
      <c r="K291">
        <v>1</v>
      </c>
      <c r="L291">
        <v>3.8</v>
      </c>
      <c r="M291">
        <v>524899.57</v>
      </c>
      <c r="N291">
        <v>63619.98</v>
      </c>
    </row>
    <row r="292" customFormat="1" spans="1:14">
      <c r="A292" t="s">
        <v>94</v>
      </c>
      <c r="B292" s="188">
        <v>45689</v>
      </c>
      <c r="C292" t="s">
        <v>26</v>
      </c>
      <c r="D292" t="s">
        <v>20</v>
      </c>
      <c r="E292">
        <v>34771.26</v>
      </c>
      <c r="F292">
        <v>4355</v>
      </c>
      <c r="G292">
        <v>0.051</v>
      </c>
      <c r="H292">
        <v>15</v>
      </c>
      <c r="I292">
        <v>87.9</v>
      </c>
      <c r="J292">
        <v>3.09</v>
      </c>
      <c r="K292">
        <v>0</v>
      </c>
      <c r="L292">
        <v>4</v>
      </c>
      <c r="M292">
        <v>555557.77</v>
      </c>
      <c r="N292">
        <v>86475.51</v>
      </c>
    </row>
    <row r="293" customFormat="1" spans="1:14">
      <c r="A293" t="s">
        <v>94</v>
      </c>
      <c r="B293" s="188">
        <v>45717</v>
      </c>
      <c r="C293" t="s">
        <v>26</v>
      </c>
      <c r="D293" t="s">
        <v>20</v>
      </c>
      <c r="E293">
        <v>66104.19</v>
      </c>
      <c r="F293">
        <v>5745</v>
      </c>
      <c r="G293">
        <v>0.07</v>
      </c>
      <c r="H293">
        <v>17</v>
      </c>
      <c r="I293">
        <v>95.8</v>
      </c>
      <c r="J293">
        <v>3.15</v>
      </c>
      <c r="K293">
        <v>0</v>
      </c>
      <c r="L293">
        <v>4</v>
      </c>
      <c r="M293">
        <v>714083.68</v>
      </c>
      <c r="N293">
        <v>127231.74</v>
      </c>
    </row>
    <row r="294" customFormat="1" spans="1:14">
      <c r="A294" t="s">
        <v>94</v>
      </c>
      <c r="B294" s="188">
        <v>45748</v>
      </c>
      <c r="C294" t="s">
        <v>26</v>
      </c>
      <c r="D294" t="s">
        <v>20</v>
      </c>
      <c r="E294">
        <v>18599.21</v>
      </c>
      <c r="F294">
        <v>3027</v>
      </c>
      <c r="G294">
        <v>0.122</v>
      </c>
      <c r="H294">
        <v>11</v>
      </c>
      <c r="I294">
        <v>80.9</v>
      </c>
      <c r="J294">
        <v>6.44</v>
      </c>
      <c r="K294">
        <v>0</v>
      </c>
      <c r="L294">
        <v>4.2</v>
      </c>
      <c r="M294">
        <v>497439.82</v>
      </c>
      <c r="N294">
        <v>93372.75</v>
      </c>
    </row>
    <row r="295" customFormat="1" spans="1:14">
      <c r="A295" t="s">
        <v>95</v>
      </c>
      <c r="B295" s="188">
        <v>45658</v>
      </c>
      <c r="C295" t="s">
        <v>29</v>
      </c>
      <c r="D295" t="s">
        <v>18</v>
      </c>
      <c r="E295">
        <v>60183.06</v>
      </c>
      <c r="F295">
        <v>5562</v>
      </c>
      <c r="G295">
        <v>0.009</v>
      </c>
      <c r="H295">
        <v>13</v>
      </c>
      <c r="I295">
        <v>86.3</v>
      </c>
      <c r="J295">
        <v>0.2</v>
      </c>
      <c r="K295">
        <v>1</v>
      </c>
      <c r="L295">
        <v>4.5</v>
      </c>
      <c r="M295">
        <v>636775.66</v>
      </c>
      <c r="N295">
        <v>122636.86</v>
      </c>
    </row>
    <row r="296" customFormat="1" spans="1:14">
      <c r="A296" t="s">
        <v>95</v>
      </c>
      <c r="B296" s="188">
        <v>45689</v>
      </c>
      <c r="C296" t="s">
        <v>29</v>
      </c>
      <c r="D296" t="s">
        <v>18</v>
      </c>
      <c r="E296">
        <v>74539.14</v>
      </c>
      <c r="F296">
        <v>4487</v>
      </c>
      <c r="G296">
        <v>0.14</v>
      </c>
      <c r="H296">
        <v>10</v>
      </c>
      <c r="I296">
        <v>90.4</v>
      </c>
      <c r="J296">
        <v>0.59</v>
      </c>
      <c r="K296">
        <v>0</v>
      </c>
      <c r="L296">
        <v>4.5</v>
      </c>
      <c r="M296">
        <v>633009.53</v>
      </c>
      <c r="N296">
        <v>123782.67</v>
      </c>
    </row>
    <row r="297" customFormat="1" spans="1:14">
      <c r="A297" t="s">
        <v>95</v>
      </c>
      <c r="B297" s="188">
        <v>45717</v>
      </c>
      <c r="C297" t="s">
        <v>29</v>
      </c>
      <c r="D297" t="s">
        <v>18</v>
      </c>
      <c r="E297">
        <v>55371.97</v>
      </c>
      <c r="F297">
        <v>4162</v>
      </c>
      <c r="G297">
        <v>0.183</v>
      </c>
      <c r="H297">
        <v>11</v>
      </c>
      <c r="I297">
        <v>92</v>
      </c>
      <c r="J297">
        <v>0.2</v>
      </c>
      <c r="K297">
        <v>1</v>
      </c>
      <c r="L297">
        <v>4.2</v>
      </c>
      <c r="M297">
        <v>609949</v>
      </c>
      <c r="N297">
        <v>126789.25</v>
      </c>
    </row>
    <row r="298" customFormat="1" spans="1:14">
      <c r="A298" t="s">
        <v>95</v>
      </c>
      <c r="B298" s="188">
        <v>45748</v>
      </c>
      <c r="C298" t="s">
        <v>29</v>
      </c>
      <c r="D298" t="s">
        <v>18</v>
      </c>
      <c r="E298">
        <v>40928.69</v>
      </c>
      <c r="F298">
        <v>4094</v>
      </c>
      <c r="G298">
        <v>0.174</v>
      </c>
      <c r="H298">
        <v>13</v>
      </c>
      <c r="I298">
        <v>82.4</v>
      </c>
      <c r="J298">
        <v>1.36</v>
      </c>
      <c r="K298">
        <v>0</v>
      </c>
      <c r="L298">
        <v>4.8</v>
      </c>
      <c r="M298">
        <v>548103.7</v>
      </c>
      <c r="N298">
        <v>99905.52</v>
      </c>
    </row>
    <row r="299" customFormat="1" spans="1:14">
      <c r="A299" t="s">
        <v>96</v>
      </c>
      <c r="B299" s="188">
        <v>45658</v>
      </c>
      <c r="C299" t="s">
        <v>17</v>
      </c>
      <c r="D299" t="s">
        <v>18</v>
      </c>
      <c r="E299">
        <v>70012.41</v>
      </c>
      <c r="F299">
        <v>8484</v>
      </c>
      <c r="G299">
        <v>0.273</v>
      </c>
      <c r="H299">
        <v>23</v>
      </c>
      <c r="I299">
        <v>72.9</v>
      </c>
      <c r="J299">
        <v>3.34</v>
      </c>
      <c r="K299">
        <v>0</v>
      </c>
      <c r="L299">
        <v>3.7</v>
      </c>
      <c r="M299">
        <v>729424.42</v>
      </c>
      <c r="N299">
        <v>75592.28</v>
      </c>
    </row>
    <row r="300" customFormat="1" spans="1:14">
      <c r="A300" t="s">
        <v>96</v>
      </c>
      <c r="B300" s="188">
        <v>45689</v>
      </c>
      <c r="C300" t="s">
        <v>17</v>
      </c>
      <c r="D300" t="s">
        <v>18</v>
      </c>
      <c r="E300">
        <v>68909.26</v>
      </c>
      <c r="F300">
        <v>7794</v>
      </c>
      <c r="G300">
        <v>0.284</v>
      </c>
      <c r="H300">
        <v>22</v>
      </c>
      <c r="I300">
        <v>89</v>
      </c>
      <c r="J300">
        <v>0.33</v>
      </c>
      <c r="K300">
        <v>0</v>
      </c>
      <c r="L300">
        <v>4</v>
      </c>
      <c r="M300">
        <v>696261.49</v>
      </c>
      <c r="N300">
        <v>72455.35</v>
      </c>
    </row>
    <row r="301" customFormat="1" spans="1:14">
      <c r="A301" t="s">
        <v>96</v>
      </c>
      <c r="B301" s="188">
        <v>45717</v>
      </c>
      <c r="C301" t="s">
        <v>17</v>
      </c>
      <c r="D301" t="s">
        <v>18</v>
      </c>
      <c r="E301">
        <v>56737.3</v>
      </c>
      <c r="F301">
        <v>8300</v>
      </c>
      <c r="G301">
        <v>0.032</v>
      </c>
      <c r="H301">
        <v>21</v>
      </c>
      <c r="I301">
        <v>83.2</v>
      </c>
      <c r="J301">
        <v>3.44</v>
      </c>
      <c r="K301">
        <v>1</v>
      </c>
      <c r="L301">
        <v>4.3</v>
      </c>
      <c r="M301">
        <v>813316.71</v>
      </c>
      <c r="N301">
        <v>110077.42</v>
      </c>
    </row>
    <row r="302" customFormat="1" spans="1:14">
      <c r="A302" t="s">
        <v>96</v>
      </c>
      <c r="B302" s="188">
        <v>45748</v>
      </c>
      <c r="C302" t="s">
        <v>17</v>
      </c>
      <c r="D302" t="s">
        <v>18</v>
      </c>
      <c r="E302">
        <v>54080.91</v>
      </c>
      <c r="F302">
        <v>7083</v>
      </c>
      <c r="G302">
        <v>0</v>
      </c>
      <c r="H302">
        <v>15</v>
      </c>
      <c r="I302">
        <v>97</v>
      </c>
      <c r="J302">
        <v>5.33</v>
      </c>
      <c r="K302">
        <v>0</v>
      </c>
      <c r="L302">
        <v>4.1</v>
      </c>
      <c r="M302">
        <v>702068.92</v>
      </c>
      <c r="N302">
        <v>111266.63</v>
      </c>
    </row>
    <row r="303" customFormat="1" spans="1:14">
      <c r="A303" t="s">
        <v>97</v>
      </c>
      <c r="B303" s="188">
        <v>45658</v>
      </c>
      <c r="C303" t="s">
        <v>29</v>
      </c>
      <c r="D303" t="s">
        <v>20</v>
      </c>
      <c r="E303">
        <v>51996.32</v>
      </c>
      <c r="F303">
        <v>3834</v>
      </c>
      <c r="G303">
        <v>0.096</v>
      </c>
      <c r="H303">
        <v>8</v>
      </c>
      <c r="I303">
        <v>86.7</v>
      </c>
      <c r="J303">
        <v>6.04</v>
      </c>
      <c r="K303">
        <v>0</v>
      </c>
      <c r="L303">
        <v>4.5</v>
      </c>
      <c r="M303">
        <v>546223.7</v>
      </c>
      <c r="N303">
        <v>100769.17</v>
      </c>
    </row>
    <row r="304" customFormat="1" spans="1:14">
      <c r="A304" t="s">
        <v>97</v>
      </c>
      <c r="B304" s="188">
        <v>45689</v>
      </c>
      <c r="C304" t="s">
        <v>29</v>
      </c>
      <c r="D304" t="s">
        <v>20</v>
      </c>
      <c r="E304">
        <v>40102.88</v>
      </c>
      <c r="F304">
        <v>2358</v>
      </c>
      <c r="G304">
        <v>0.119</v>
      </c>
      <c r="H304">
        <v>9</v>
      </c>
      <c r="I304">
        <v>88.7</v>
      </c>
      <c r="J304">
        <v>1.6</v>
      </c>
      <c r="K304">
        <v>0</v>
      </c>
      <c r="L304">
        <v>4.2</v>
      </c>
      <c r="M304">
        <v>533121.26</v>
      </c>
      <c r="N304">
        <v>55063.39</v>
      </c>
    </row>
    <row r="305" customFormat="1" spans="1:14">
      <c r="A305" t="s">
        <v>97</v>
      </c>
      <c r="B305" s="188">
        <v>45717</v>
      </c>
      <c r="C305" t="s">
        <v>29</v>
      </c>
      <c r="D305" t="s">
        <v>20</v>
      </c>
      <c r="E305">
        <v>59825.51</v>
      </c>
      <c r="F305">
        <v>1231</v>
      </c>
      <c r="G305">
        <v>0.214</v>
      </c>
      <c r="H305">
        <v>10</v>
      </c>
      <c r="I305">
        <v>84.8</v>
      </c>
      <c r="J305">
        <v>8.96</v>
      </c>
      <c r="K305">
        <v>0</v>
      </c>
      <c r="L305">
        <v>4.7</v>
      </c>
      <c r="M305">
        <v>498970.32</v>
      </c>
      <c r="N305">
        <v>69656.7</v>
      </c>
    </row>
    <row r="306" customFormat="1" spans="1:14">
      <c r="A306" t="s">
        <v>97</v>
      </c>
      <c r="B306" s="188">
        <v>45748</v>
      </c>
      <c r="C306" t="s">
        <v>29</v>
      </c>
      <c r="D306" t="s">
        <v>20</v>
      </c>
      <c r="E306">
        <v>27398.28</v>
      </c>
      <c r="F306">
        <v>1723</v>
      </c>
      <c r="G306">
        <v>0.171</v>
      </c>
      <c r="H306">
        <v>9</v>
      </c>
      <c r="I306">
        <v>81</v>
      </c>
      <c r="J306">
        <v>0.74</v>
      </c>
      <c r="K306">
        <v>0</v>
      </c>
      <c r="L306">
        <v>4.6</v>
      </c>
      <c r="M306">
        <v>487738.26</v>
      </c>
      <c r="N306">
        <v>96435.6</v>
      </c>
    </row>
    <row r="307" customFormat="1" spans="1:14">
      <c r="A307" t="s">
        <v>98</v>
      </c>
      <c r="B307" s="188">
        <v>45658</v>
      </c>
      <c r="C307" t="s">
        <v>29</v>
      </c>
      <c r="D307" t="s">
        <v>20</v>
      </c>
      <c r="E307">
        <v>55599.56</v>
      </c>
      <c r="F307">
        <v>5896</v>
      </c>
      <c r="G307">
        <v>0.036</v>
      </c>
      <c r="H307">
        <v>12</v>
      </c>
      <c r="I307">
        <v>93.1</v>
      </c>
      <c r="J307">
        <v>6.13</v>
      </c>
      <c r="K307">
        <v>0</v>
      </c>
      <c r="L307">
        <v>3.3</v>
      </c>
      <c r="M307">
        <v>668459.37</v>
      </c>
      <c r="N307">
        <v>126435.42</v>
      </c>
    </row>
    <row r="308" customFormat="1" spans="1:14">
      <c r="A308" t="s">
        <v>98</v>
      </c>
      <c r="B308" s="188">
        <v>45689</v>
      </c>
      <c r="C308" t="s">
        <v>29</v>
      </c>
      <c r="D308" t="s">
        <v>20</v>
      </c>
      <c r="E308">
        <v>55477.61</v>
      </c>
      <c r="F308">
        <v>5903</v>
      </c>
      <c r="G308">
        <v>0.102</v>
      </c>
      <c r="H308">
        <v>14</v>
      </c>
      <c r="I308">
        <v>96.2</v>
      </c>
      <c r="J308">
        <v>1.41</v>
      </c>
      <c r="K308">
        <v>0</v>
      </c>
      <c r="L308">
        <v>3.3</v>
      </c>
      <c r="M308">
        <v>763162.45</v>
      </c>
      <c r="N308">
        <v>162524.05</v>
      </c>
    </row>
    <row r="309" customFormat="1" spans="1:14">
      <c r="A309" t="s">
        <v>98</v>
      </c>
      <c r="B309" s="188">
        <v>45717</v>
      </c>
      <c r="C309" t="s">
        <v>29</v>
      </c>
      <c r="D309" t="s">
        <v>20</v>
      </c>
      <c r="E309">
        <v>46174.7</v>
      </c>
      <c r="F309">
        <v>4898</v>
      </c>
      <c r="G309">
        <v>0.114</v>
      </c>
      <c r="H309">
        <v>11</v>
      </c>
      <c r="I309">
        <v>91.7</v>
      </c>
      <c r="J309">
        <v>3.75</v>
      </c>
      <c r="K309">
        <v>0</v>
      </c>
      <c r="L309">
        <v>3.1</v>
      </c>
      <c r="M309">
        <v>599017.33</v>
      </c>
      <c r="N309">
        <v>134009.92</v>
      </c>
    </row>
    <row r="310" customFormat="1" spans="1:14">
      <c r="A310" t="s">
        <v>98</v>
      </c>
      <c r="B310" s="188">
        <v>45748</v>
      </c>
      <c r="C310" t="s">
        <v>29</v>
      </c>
      <c r="D310" t="s">
        <v>20</v>
      </c>
      <c r="E310">
        <v>24362.98</v>
      </c>
      <c r="F310">
        <v>1462</v>
      </c>
      <c r="G310">
        <v>0.117</v>
      </c>
      <c r="H310">
        <v>6</v>
      </c>
      <c r="I310">
        <v>89.3</v>
      </c>
      <c r="J310">
        <v>15.06</v>
      </c>
      <c r="K310">
        <v>0</v>
      </c>
      <c r="L310">
        <v>3.2</v>
      </c>
      <c r="M310">
        <v>401582.58</v>
      </c>
      <c r="N310">
        <v>68454.93</v>
      </c>
    </row>
    <row r="311" customFormat="1" spans="1:14">
      <c r="A311" t="s">
        <v>99</v>
      </c>
      <c r="B311" s="188">
        <v>45658</v>
      </c>
      <c r="C311" t="s">
        <v>22</v>
      </c>
      <c r="D311" t="s">
        <v>30</v>
      </c>
      <c r="E311">
        <v>40647.67</v>
      </c>
      <c r="F311">
        <v>8252</v>
      </c>
      <c r="G311">
        <v>0.141</v>
      </c>
      <c r="H311">
        <v>22</v>
      </c>
      <c r="I311">
        <v>88.2</v>
      </c>
      <c r="J311">
        <v>5.07</v>
      </c>
      <c r="K311">
        <v>1</v>
      </c>
      <c r="L311">
        <v>4.1</v>
      </c>
      <c r="M311">
        <v>703812.99</v>
      </c>
      <c r="N311">
        <v>133577.98</v>
      </c>
    </row>
    <row r="312" customFormat="1" spans="1:14">
      <c r="A312" t="s">
        <v>99</v>
      </c>
      <c r="B312" s="188">
        <v>45689</v>
      </c>
      <c r="C312" t="s">
        <v>22</v>
      </c>
      <c r="D312" t="s">
        <v>30</v>
      </c>
      <c r="E312">
        <v>63986.98</v>
      </c>
      <c r="F312">
        <v>7989</v>
      </c>
      <c r="G312">
        <v>0.074</v>
      </c>
      <c r="H312">
        <v>20</v>
      </c>
      <c r="I312">
        <v>83.3</v>
      </c>
      <c r="J312">
        <v>3.6</v>
      </c>
      <c r="K312">
        <v>0</v>
      </c>
      <c r="L312">
        <v>3.7</v>
      </c>
      <c r="M312">
        <v>724346.73</v>
      </c>
      <c r="N312">
        <v>155013.91</v>
      </c>
    </row>
    <row r="313" customFormat="1" spans="1:14">
      <c r="A313" t="s">
        <v>99</v>
      </c>
      <c r="B313" s="188">
        <v>45717</v>
      </c>
      <c r="C313" t="s">
        <v>22</v>
      </c>
      <c r="D313" t="s">
        <v>30</v>
      </c>
      <c r="E313">
        <v>52843.75</v>
      </c>
      <c r="F313">
        <v>8268</v>
      </c>
      <c r="G313">
        <v>0.138</v>
      </c>
      <c r="H313">
        <v>19</v>
      </c>
      <c r="I313">
        <v>87.3</v>
      </c>
      <c r="J313">
        <v>4.39</v>
      </c>
      <c r="K313">
        <v>1</v>
      </c>
      <c r="L313">
        <v>4.7</v>
      </c>
      <c r="M313">
        <v>730890.01</v>
      </c>
      <c r="N313">
        <v>105502.56</v>
      </c>
    </row>
    <row r="314" customFormat="1" spans="1:14">
      <c r="A314" t="s">
        <v>99</v>
      </c>
      <c r="B314" s="188">
        <v>45748</v>
      </c>
      <c r="C314" t="s">
        <v>22</v>
      </c>
      <c r="D314" t="s">
        <v>30</v>
      </c>
      <c r="E314">
        <v>31997.25</v>
      </c>
      <c r="F314">
        <v>8183</v>
      </c>
      <c r="G314">
        <v>0.198</v>
      </c>
      <c r="H314">
        <v>18</v>
      </c>
      <c r="I314">
        <v>93</v>
      </c>
      <c r="J314">
        <v>2.79</v>
      </c>
      <c r="K314">
        <v>0</v>
      </c>
      <c r="L314">
        <v>4.2</v>
      </c>
      <c r="M314">
        <v>780580.95</v>
      </c>
      <c r="N314">
        <v>138144.46</v>
      </c>
    </row>
    <row r="315" customFormat="1" spans="1:14">
      <c r="A315" t="s">
        <v>100</v>
      </c>
      <c r="B315" s="188">
        <v>45658</v>
      </c>
      <c r="C315" t="s">
        <v>26</v>
      </c>
      <c r="D315" t="s">
        <v>18</v>
      </c>
      <c r="E315">
        <v>54948.02</v>
      </c>
      <c r="F315">
        <v>6534</v>
      </c>
      <c r="G315">
        <v>0.183</v>
      </c>
      <c r="H315">
        <v>14</v>
      </c>
      <c r="I315">
        <v>94.5</v>
      </c>
      <c r="J315">
        <v>1.56</v>
      </c>
      <c r="K315">
        <v>0</v>
      </c>
      <c r="L315">
        <v>4</v>
      </c>
      <c r="M315">
        <v>727957.48</v>
      </c>
      <c r="N315">
        <v>74805.23</v>
      </c>
    </row>
    <row r="316" customFormat="1" spans="1:14">
      <c r="A316" t="s">
        <v>100</v>
      </c>
      <c r="B316" s="188">
        <v>45689</v>
      </c>
      <c r="C316" t="s">
        <v>26</v>
      </c>
      <c r="D316" t="s">
        <v>18</v>
      </c>
      <c r="E316">
        <v>46146.24</v>
      </c>
      <c r="F316">
        <v>5804</v>
      </c>
      <c r="G316">
        <v>0.047</v>
      </c>
      <c r="H316">
        <v>16</v>
      </c>
      <c r="I316">
        <v>86.9</v>
      </c>
      <c r="J316">
        <v>15.82</v>
      </c>
      <c r="K316">
        <v>0</v>
      </c>
      <c r="L316">
        <v>3.8</v>
      </c>
      <c r="M316">
        <v>538376</v>
      </c>
      <c r="N316">
        <v>87605.62</v>
      </c>
    </row>
    <row r="317" customFormat="1" spans="1:14">
      <c r="A317" t="s">
        <v>100</v>
      </c>
      <c r="B317" s="188">
        <v>45717</v>
      </c>
      <c r="C317" t="s">
        <v>26</v>
      </c>
      <c r="D317" t="s">
        <v>18</v>
      </c>
      <c r="E317">
        <v>22387.26</v>
      </c>
      <c r="F317">
        <v>6301</v>
      </c>
      <c r="G317">
        <v>0.146</v>
      </c>
      <c r="H317">
        <v>14</v>
      </c>
      <c r="I317">
        <v>85.9</v>
      </c>
      <c r="J317">
        <v>1.17</v>
      </c>
      <c r="K317">
        <v>1</v>
      </c>
      <c r="L317">
        <v>3.7</v>
      </c>
      <c r="M317">
        <v>665342.49</v>
      </c>
      <c r="N317">
        <v>93441.81</v>
      </c>
    </row>
    <row r="318" customFormat="1" spans="1:14">
      <c r="A318" t="s">
        <v>100</v>
      </c>
      <c r="B318" s="188">
        <v>45748</v>
      </c>
      <c r="C318" t="s">
        <v>26</v>
      </c>
      <c r="D318" t="s">
        <v>18</v>
      </c>
      <c r="E318">
        <v>60684.05</v>
      </c>
      <c r="F318">
        <v>6399</v>
      </c>
      <c r="G318">
        <v>0.075</v>
      </c>
      <c r="H318">
        <v>16</v>
      </c>
      <c r="I318">
        <v>99</v>
      </c>
      <c r="J318">
        <v>3.82</v>
      </c>
      <c r="K318">
        <v>0</v>
      </c>
      <c r="L318">
        <v>3.5</v>
      </c>
      <c r="M318">
        <v>651164.18</v>
      </c>
      <c r="N318">
        <v>109466.5</v>
      </c>
    </row>
    <row r="319" customFormat="1" spans="1:14">
      <c r="A319" t="s">
        <v>101</v>
      </c>
      <c r="B319" s="188">
        <v>45658</v>
      </c>
      <c r="C319" t="s">
        <v>26</v>
      </c>
      <c r="D319" t="s">
        <v>20</v>
      </c>
      <c r="E319">
        <v>48465.6</v>
      </c>
      <c r="F319">
        <v>5759</v>
      </c>
      <c r="G319">
        <v>0.154</v>
      </c>
      <c r="H319">
        <v>13</v>
      </c>
      <c r="I319">
        <v>87.5</v>
      </c>
      <c r="J319">
        <v>4.14</v>
      </c>
      <c r="K319">
        <v>0</v>
      </c>
      <c r="L319">
        <v>4</v>
      </c>
      <c r="M319">
        <v>628538.3</v>
      </c>
      <c r="N319">
        <v>112509.15</v>
      </c>
    </row>
    <row r="320" customFormat="1" spans="1:14">
      <c r="A320" t="s">
        <v>101</v>
      </c>
      <c r="B320" s="188">
        <v>45689</v>
      </c>
      <c r="C320" t="s">
        <v>26</v>
      </c>
      <c r="D320" t="s">
        <v>20</v>
      </c>
      <c r="E320">
        <v>23702.38</v>
      </c>
      <c r="F320">
        <v>5285</v>
      </c>
      <c r="G320">
        <v>0.167</v>
      </c>
      <c r="H320">
        <v>14</v>
      </c>
      <c r="I320">
        <v>79.7</v>
      </c>
      <c r="J320">
        <v>1.1</v>
      </c>
      <c r="K320">
        <v>0</v>
      </c>
      <c r="L320">
        <v>4.3</v>
      </c>
      <c r="M320">
        <v>536524.84</v>
      </c>
      <c r="N320">
        <v>92752.94</v>
      </c>
    </row>
    <row r="321" customFormat="1" spans="1:14">
      <c r="A321" t="s">
        <v>101</v>
      </c>
      <c r="B321" s="188">
        <v>45717</v>
      </c>
      <c r="C321" t="s">
        <v>26</v>
      </c>
      <c r="D321" t="s">
        <v>20</v>
      </c>
      <c r="E321">
        <v>54322.94</v>
      </c>
      <c r="F321">
        <v>5434</v>
      </c>
      <c r="G321">
        <v>0.2</v>
      </c>
      <c r="H321">
        <v>13</v>
      </c>
      <c r="I321">
        <v>85.7</v>
      </c>
      <c r="J321">
        <v>10.6</v>
      </c>
      <c r="K321">
        <v>0</v>
      </c>
      <c r="L321">
        <v>4.2</v>
      </c>
      <c r="M321">
        <v>621677.3</v>
      </c>
      <c r="N321">
        <v>105192.52</v>
      </c>
    </row>
    <row r="322" customFormat="1" spans="1:14">
      <c r="A322" t="s">
        <v>101</v>
      </c>
      <c r="B322" s="188">
        <v>45748</v>
      </c>
      <c r="C322" t="s">
        <v>26</v>
      </c>
      <c r="D322" t="s">
        <v>20</v>
      </c>
      <c r="E322">
        <v>86026.58</v>
      </c>
      <c r="F322">
        <v>7479</v>
      </c>
      <c r="G322">
        <v>0.142</v>
      </c>
      <c r="H322">
        <v>20</v>
      </c>
      <c r="I322">
        <v>89</v>
      </c>
      <c r="J322">
        <v>0.9</v>
      </c>
      <c r="K322">
        <v>0</v>
      </c>
      <c r="L322">
        <v>3.95</v>
      </c>
      <c r="M322">
        <v>771129.07</v>
      </c>
      <c r="N322">
        <v>116851.13</v>
      </c>
    </row>
    <row r="323" customFormat="1" spans="1:14">
      <c r="A323" t="s">
        <v>102</v>
      </c>
      <c r="B323" s="188">
        <v>45658</v>
      </c>
      <c r="C323" t="s">
        <v>22</v>
      </c>
      <c r="D323" t="s">
        <v>18</v>
      </c>
      <c r="E323">
        <v>78967.52</v>
      </c>
      <c r="F323">
        <v>6164</v>
      </c>
      <c r="G323">
        <v>0.021</v>
      </c>
      <c r="H323">
        <v>16</v>
      </c>
      <c r="I323">
        <v>85.5</v>
      </c>
      <c r="J323">
        <v>0.2</v>
      </c>
      <c r="K323">
        <v>0</v>
      </c>
      <c r="L323">
        <v>3.4</v>
      </c>
      <c r="M323">
        <v>702052.47</v>
      </c>
      <c r="N323">
        <v>121732.51</v>
      </c>
    </row>
    <row r="324" customFormat="1" spans="1:14">
      <c r="A324" t="s">
        <v>102</v>
      </c>
      <c r="B324" s="188">
        <v>45689</v>
      </c>
      <c r="C324" t="s">
        <v>22</v>
      </c>
      <c r="D324" t="s">
        <v>18</v>
      </c>
      <c r="E324">
        <v>46767.99</v>
      </c>
      <c r="F324">
        <v>7973</v>
      </c>
      <c r="G324">
        <v>0.183</v>
      </c>
      <c r="H324">
        <v>18</v>
      </c>
      <c r="I324">
        <v>94.8</v>
      </c>
      <c r="J324">
        <v>4.67</v>
      </c>
      <c r="K324">
        <v>0</v>
      </c>
      <c r="L324">
        <v>3.95</v>
      </c>
      <c r="M324">
        <v>688368.46</v>
      </c>
      <c r="N324">
        <v>93588.42</v>
      </c>
    </row>
    <row r="325" customFormat="1" spans="1:14">
      <c r="A325" t="s">
        <v>102</v>
      </c>
      <c r="B325" s="188">
        <v>45717</v>
      </c>
      <c r="C325" t="s">
        <v>22</v>
      </c>
      <c r="D325" t="s">
        <v>18</v>
      </c>
      <c r="E325">
        <v>62507.16</v>
      </c>
      <c r="F325">
        <v>6000</v>
      </c>
      <c r="G325">
        <v>0.091</v>
      </c>
      <c r="H325">
        <v>14</v>
      </c>
      <c r="I325">
        <v>98.2</v>
      </c>
      <c r="J325">
        <v>4.38</v>
      </c>
      <c r="K325">
        <v>1</v>
      </c>
      <c r="L325">
        <v>3.9</v>
      </c>
      <c r="M325">
        <v>712375.77</v>
      </c>
      <c r="N325">
        <v>104171.53</v>
      </c>
    </row>
    <row r="326" customFormat="1" spans="1:14">
      <c r="A326" t="s">
        <v>102</v>
      </c>
      <c r="B326" s="188">
        <v>45748</v>
      </c>
      <c r="C326" t="s">
        <v>22</v>
      </c>
      <c r="D326" t="s">
        <v>18</v>
      </c>
      <c r="E326">
        <v>66456.28</v>
      </c>
      <c r="F326">
        <v>9967</v>
      </c>
      <c r="G326">
        <v>0.108</v>
      </c>
      <c r="H326">
        <v>20</v>
      </c>
      <c r="I326">
        <v>94.7</v>
      </c>
      <c r="J326">
        <v>4.48</v>
      </c>
      <c r="K326">
        <v>0</v>
      </c>
      <c r="L326">
        <v>4.2</v>
      </c>
      <c r="M326">
        <v>844710.67</v>
      </c>
      <c r="N326">
        <v>137140.18</v>
      </c>
    </row>
    <row r="327" customFormat="1" spans="1:14">
      <c r="A327" t="s">
        <v>103</v>
      </c>
      <c r="B327" s="188">
        <v>45658</v>
      </c>
      <c r="C327" t="s">
        <v>17</v>
      </c>
      <c r="D327" t="s">
        <v>18</v>
      </c>
      <c r="E327">
        <v>76614.32</v>
      </c>
      <c r="F327">
        <v>5639</v>
      </c>
      <c r="G327">
        <v>0.174</v>
      </c>
      <c r="H327">
        <v>15</v>
      </c>
      <c r="I327">
        <v>92.9</v>
      </c>
      <c r="J327">
        <v>1.02</v>
      </c>
      <c r="K327">
        <v>1</v>
      </c>
      <c r="L327">
        <v>4</v>
      </c>
      <c r="M327">
        <v>620264.2</v>
      </c>
      <c r="N327">
        <v>91365.64</v>
      </c>
    </row>
    <row r="328" customFormat="1" spans="1:14">
      <c r="A328" t="s">
        <v>103</v>
      </c>
      <c r="B328" s="188">
        <v>45689</v>
      </c>
      <c r="C328" t="s">
        <v>17</v>
      </c>
      <c r="D328" t="s">
        <v>18</v>
      </c>
      <c r="E328">
        <v>24088.06</v>
      </c>
      <c r="F328">
        <v>3466</v>
      </c>
      <c r="G328">
        <v>0</v>
      </c>
      <c r="H328">
        <v>11</v>
      </c>
      <c r="I328">
        <v>88</v>
      </c>
      <c r="J328">
        <v>0.2</v>
      </c>
      <c r="K328">
        <v>0</v>
      </c>
      <c r="L328">
        <v>3.8</v>
      </c>
      <c r="M328">
        <v>536845.42</v>
      </c>
      <c r="N328">
        <v>107473.75</v>
      </c>
    </row>
    <row r="329" customFormat="1" spans="1:14">
      <c r="A329" t="s">
        <v>103</v>
      </c>
      <c r="B329" s="188">
        <v>45717</v>
      </c>
      <c r="C329" t="s">
        <v>17</v>
      </c>
      <c r="D329" t="s">
        <v>18</v>
      </c>
      <c r="E329">
        <v>81902.58</v>
      </c>
      <c r="F329">
        <v>7775</v>
      </c>
      <c r="G329">
        <v>0.215</v>
      </c>
      <c r="H329">
        <v>20</v>
      </c>
      <c r="I329">
        <v>85.2</v>
      </c>
      <c r="J329">
        <v>4.89</v>
      </c>
      <c r="K329">
        <v>1</v>
      </c>
      <c r="L329">
        <v>4.2</v>
      </c>
      <c r="M329">
        <v>726776.22</v>
      </c>
      <c r="N329">
        <v>90804.49</v>
      </c>
    </row>
    <row r="330" customFormat="1" spans="1:14">
      <c r="A330" t="s">
        <v>103</v>
      </c>
      <c r="B330" s="188">
        <v>45748</v>
      </c>
      <c r="C330" t="s">
        <v>17</v>
      </c>
      <c r="D330" t="s">
        <v>18</v>
      </c>
      <c r="E330">
        <v>40553.11</v>
      </c>
      <c r="F330">
        <v>5317</v>
      </c>
      <c r="G330">
        <v>0.165</v>
      </c>
      <c r="H330">
        <v>17</v>
      </c>
      <c r="I330">
        <v>84.3</v>
      </c>
      <c r="J330">
        <v>11.82</v>
      </c>
      <c r="K330">
        <v>0</v>
      </c>
      <c r="L330">
        <v>4.1</v>
      </c>
      <c r="M330">
        <v>559660.84</v>
      </c>
      <c r="N330">
        <v>71443.61</v>
      </c>
    </row>
  </sheetData>
  <mergeCells count="2">
    <mergeCell ref="A1:N1"/>
    <mergeCell ref="A2:N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54"/>
  <sheetViews>
    <sheetView workbookViewId="0">
      <selection activeCell="F18" sqref="F18"/>
    </sheetView>
  </sheetViews>
  <sheetFormatPr defaultColWidth="9" defaultRowHeight="13.8"/>
  <cols>
    <col min="1" max="4" width="18" customWidth="1"/>
    <col min="5" max="5" width="18" hidden="1" customWidth="1"/>
    <col min="6" max="9" width="18" customWidth="1"/>
    <col min="10" max="10" width="18" hidden="1" customWidth="1"/>
    <col min="11" max="16384" width="18" customWidth="1"/>
  </cols>
  <sheetData>
    <row r="1" customFormat="1" ht="32" customHeight="1" spans="1:30">
      <c r="A1" s="173" t="s">
        <v>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</row>
    <row r="2" customFormat="1" spans="1:30">
      <c r="A2" s="134" t="s">
        <v>115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</row>
    <row r="4" customFormat="1" spans="1:30">
      <c r="A4" s="174" t="s">
        <v>116</v>
      </c>
      <c r="B4" s="175" t="s">
        <v>117</v>
      </c>
    </row>
    <row r="5" customFormat="1" spans="1:30">
      <c r="A5" s="174" t="s">
        <v>118</v>
      </c>
      <c r="B5" s="175" t="s">
        <v>17</v>
      </c>
    </row>
    <row r="6" customFormat="1" spans="1:30">
      <c r="A6" s="174" t="s">
        <v>119</v>
      </c>
      <c r="B6" s="175" t="s">
        <v>23</v>
      </c>
    </row>
    <row r="7" customFormat="1" spans="1:30">
      <c r="A7" s="174" t="s">
        <v>120</v>
      </c>
      <c r="B7" s="175" t="s">
        <v>121</v>
      </c>
    </row>
    <row r="8" customFormat="1" spans="1:30">
      <c r="A8" s="174" t="s">
        <v>122</v>
      </c>
      <c r="B8" s="175" t="s">
        <v>123</v>
      </c>
    </row>
    <row r="10" customFormat="1" spans="1:30">
      <c r="A10" s="176" t="s">
        <v>2</v>
      </c>
      <c r="B10" s="176" t="s">
        <v>3</v>
      </c>
      <c r="C10" s="176" t="s">
        <v>4</v>
      </c>
      <c r="D10" s="176" t="s">
        <v>5</v>
      </c>
      <c r="E10" s="176" t="s">
        <v>8</v>
      </c>
      <c r="F10" s="176" t="s">
        <v>9</v>
      </c>
      <c r="G10" s="176" t="s">
        <v>11</v>
      </c>
      <c r="H10" s="176" t="s">
        <v>12</v>
      </c>
      <c r="I10" s="176" t="s">
        <v>13</v>
      </c>
      <c r="J10" s="176" t="s">
        <v>15</v>
      </c>
      <c r="K10" s="176" t="s">
        <v>14</v>
      </c>
      <c r="L10" s="176" t="s">
        <v>6</v>
      </c>
      <c r="M10" s="176" t="s">
        <v>7</v>
      </c>
      <c r="N10" s="176" t="s">
        <v>10</v>
      </c>
      <c r="O10" s="176" t="s">
        <v>124</v>
      </c>
      <c r="P10" s="176" t="s">
        <v>125</v>
      </c>
      <c r="Q10" s="176" t="s">
        <v>126</v>
      </c>
      <c r="R10" s="176" t="s">
        <v>127</v>
      </c>
      <c r="S10" s="176" t="s">
        <v>128</v>
      </c>
      <c r="T10" s="176" t="s">
        <v>129</v>
      </c>
      <c r="U10" s="176" t="s">
        <v>130</v>
      </c>
      <c r="V10" s="176" t="s">
        <v>131</v>
      </c>
      <c r="W10" s="176"/>
      <c r="X10" s="176"/>
      <c r="Y10" s="176"/>
      <c r="Z10" s="176"/>
      <c r="AA10" s="176"/>
      <c r="AB10" s="176"/>
      <c r="AC10" s="176"/>
      <c r="AD10" s="176"/>
    </row>
    <row r="11" customFormat="1" spans="1:30">
      <c r="A11" s="71" t="s">
        <v>16</v>
      </c>
      <c r="B11" s="177">
        <v>45658</v>
      </c>
      <c r="C11" s="71" t="s">
        <v>17</v>
      </c>
      <c r="D11" s="71" t="s">
        <v>18</v>
      </c>
      <c r="E11" s="71">
        <v>0.042</v>
      </c>
      <c r="F11" s="71">
        <v>17</v>
      </c>
      <c r="G11" s="71">
        <v>5.28</v>
      </c>
      <c r="H11" s="71">
        <v>1</v>
      </c>
      <c r="I11" s="71">
        <v>3.1</v>
      </c>
      <c r="J11" s="71">
        <v>84349.93</v>
      </c>
      <c r="K11" s="71">
        <v>658832.62</v>
      </c>
      <c r="L11" s="71">
        <v>70389.11</v>
      </c>
      <c r="M11" s="71">
        <v>8302</v>
      </c>
      <c r="N11" s="71">
        <v>75</v>
      </c>
      <c r="O11" s="71">
        <v>0</v>
      </c>
      <c r="P11" s="71">
        <v>0</v>
      </c>
      <c r="Q11" s="71">
        <v>0</v>
      </c>
      <c r="R11" s="71">
        <v>0</v>
      </c>
      <c r="S11" s="71">
        <v>0</v>
      </c>
      <c r="T11" s="71">
        <v>0</v>
      </c>
      <c r="U11">
        <v>142396.36</v>
      </c>
      <c r="V11">
        <v>0</v>
      </c>
    </row>
    <row r="12" customFormat="1" spans="1:30">
      <c r="A12" s="71" t="s">
        <v>16</v>
      </c>
      <c r="B12" s="177">
        <v>45689</v>
      </c>
      <c r="C12" s="71" t="s">
        <v>17</v>
      </c>
      <c r="D12" s="71" t="s">
        <v>18</v>
      </c>
      <c r="E12" s="71">
        <v>0.168</v>
      </c>
      <c r="F12" s="71">
        <v>23</v>
      </c>
      <c r="G12" s="71">
        <v>4.31</v>
      </c>
      <c r="H12" s="71">
        <v>0</v>
      </c>
      <c r="I12" s="71">
        <v>2.8</v>
      </c>
      <c r="J12" s="71">
        <v>106130.54</v>
      </c>
      <c r="K12" s="71">
        <v>634436</v>
      </c>
      <c r="L12" s="71">
        <v>43827.89</v>
      </c>
      <c r="M12" s="71">
        <v>8487</v>
      </c>
      <c r="N12" s="71">
        <v>84.4</v>
      </c>
      <c r="O12" s="71">
        <v>0</v>
      </c>
      <c r="P12" s="71">
        <v>0</v>
      </c>
      <c r="Q12" s="71">
        <v>0</v>
      </c>
      <c r="R12" s="71">
        <v>0</v>
      </c>
      <c r="S12" s="71">
        <v>0</v>
      </c>
      <c r="T12" s="71">
        <v>0</v>
      </c>
      <c r="U12">
        <v>142396.36</v>
      </c>
      <c r="V12">
        <v>0</v>
      </c>
    </row>
    <row r="13" customFormat="1" spans="1:30">
      <c r="A13" s="71" t="s">
        <v>16</v>
      </c>
      <c r="B13" s="177">
        <v>45717</v>
      </c>
      <c r="C13" s="71" t="s">
        <v>17</v>
      </c>
      <c r="D13" s="71" t="s">
        <v>18</v>
      </c>
      <c r="E13" s="71">
        <v>0.133</v>
      </c>
      <c r="F13" s="71">
        <v>20</v>
      </c>
      <c r="G13" s="71">
        <v>12</v>
      </c>
      <c r="H13" s="71">
        <v>0</v>
      </c>
      <c r="I13" s="71">
        <v>3.2</v>
      </c>
      <c r="J13" s="71">
        <v>101883.86</v>
      </c>
      <c r="K13" s="71">
        <v>678722.06</v>
      </c>
      <c r="L13" s="71">
        <v>59921.75</v>
      </c>
      <c r="M13" s="71">
        <v>9113</v>
      </c>
      <c r="N13" s="71">
        <v>88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>
        <v>142396.36</v>
      </c>
      <c r="V13">
        <v>0</v>
      </c>
    </row>
    <row r="14" customFormat="1" spans="1:30">
      <c r="A14" s="71" t="s">
        <v>16</v>
      </c>
      <c r="B14" s="177">
        <v>45748</v>
      </c>
      <c r="C14" s="71" t="s">
        <v>17</v>
      </c>
      <c r="D14" s="71" t="s">
        <v>18</v>
      </c>
      <c r="E14" s="71">
        <v>0.142</v>
      </c>
      <c r="F14" s="71">
        <v>23</v>
      </c>
      <c r="G14" s="71">
        <v>4.97</v>
      </c>
      <c r="H14" s="71">
        <v>0</v>
      </c>
      <c r="I14" s="71">
        <v>3.4</v>
      </c>
      <c r="J14" s="71">
        <v>97910.37</v>
      </c>
      <c r="K14" s="71">
        <v>658920.3</v>
      </c>
      <c r="L14" s="71">
        <v>56856.63</v>
      </c>
      <c r="M14" s="71">
        <v>9431</v>
      </c>
      <c r="N14" s="71">
        <v>86.9</v>
      </c>
      <c r="O14" s="71">
        <v>0</v>
      </c>
      <c r="P14" s="71">
        <v>0</v>
      </c>
      <c r="Q14" s="71">
        <v>0</v>
      </c>
      <c r="R14" s="71">
        <v>0</v>
      </c>
      <c r="S14" s="71">
        <v>0</v>
      </c>
      <c r="T14" s="71">
        <v>0</v>
      </c>
      <c r="U14">
        <v>142396.36</v>
      </c>
      <c r="V14">
        <v>0</v>
      </c>
    </row>
    <row r="15" customFormat="1" spans="1:30">
      <c r="A15" s="71" t="s">
        <v>19</v>
      </c>
      <c r="B15" s="177">
        <v>45658</v>
      </c>
      <c r="C15" s="71" t="s">
        <v>17</v>
      </c>
      <c r="D15" s="71" t="s">
        <v>20</v>
      </c>
      <c r="E15" s="71">
        <v>0.231</v>
      </c>
      <c r="F15" s="71">
        <v>21</v>
      </c>
      <c r="G15" s="71">
        <v>6.94</v>
      </c>
      <c r="H15" s="71">
        <v>1</v>
      </c>
      <c r="I15" s="71">
        <v>4.2</v>
      </c>
      <c r="J15" s="71">
        <v>119208.17</v>
      </c>
      <c r="K15" s="71">
        <v>741341.44</v>
      </c>
      <c r="L15" s="71">
        <v>48412.64</v>
      </c>
      <c r="M15" s="71">
        <v>9545</v>
      </c>
      <c r="N15" s="71">
        <v>97.6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>
        <v>142396.36</v>
      </c>
      <c r="V15">
        <v>0</v>
      </c>
    </row>
    <row r="16" customFormat="1" spans="1:30">
      <c r="A16" s="71" t="s">
        <v>19</v>
      </c>
      <c r="B16" s="177">
        <v>45689</v>
      </c>
      <c r="C16" s="71" t="s">
        <v>17</v>
      </c>
      <c r="D16" s="71" t="s">
        <v>20</v>
      </c>
      <c r="E16" s="71">
        <v>0.112</v>
      </c>
      <c r="F16" s="71">
        <v>20</v>
      </c>
      <c r="G16" s="71">
        <v>2.88</v>
      </c>
      <c r="H16" s="71">
        <v>0</v>
      </c>
      <c r="I16" s="71">
        <v>4.2</v>
      </c>
      <c r="J16" s="71">
        <v>149602.23</v>
      </c>
      <c r="K16" s="71">
        <v>761835.34</v>
      </c>
      <c r="L16" s="71">
        <v>64811.21</v>
      </c>
      <c r="M16" s="71">
        <v>9792</v>
      </c>
      <c r="N16" s="71">
        <v>84.2</v>
      </c>
      <c r="O16" s="71">
        <v>0</v>
      </c>
      <c r="P16" s="71">
        <v>0</v>
      </c>
      <c r="Q16" s="71">
        <v>0</v>
      </c>
      <c r="R16" s="71">
        <v>0</v>
      </c>
      <c r="S16" s="71">
        <v>0</v>
      </c>
      <c r="T16" s="71">
        <v>0</v>
      </c>
      <c r="U16">
        <v>142396.36</v>
      </c>
      <c r="V16">
        <v>0</v>
      </c>
    </row>
    <row r="17" customFormat="1" spans="1:22">
      <c r="A17" s="71" t="s">
        <v>19</v>
      </c>
      <c r="B17" s="177">
        <v>45717</v>
      </c>
      <c r="C17" s="71" t="s">
        <v>17</v>
      </c>
      <c r="D17" s="71" t="s">
        <v>20</v>
      </c>
      <c r="E17" s="71">
        <v>0.122</v>
      </c>
      <c r="F17" s="71">
        <v>22</v>
      </c>
      <c r="G17" s="71">
        <v>0.2</v>
      </c>
      <c r="H17" s="71">
        <v>1</v>
      </c>
      <c r="I17" s="71">
        <v>4.1</v>
      </c>
      <c r="J17" s="71">
        <v>131364.62</v>
      </c>
      <c r="K17" s="71">
        <v>806615.54</v>
      </c>
      <c r="L17" s="71">
        <v>46213.45</v>
      </c>
      <c r="M17" s="71">
        <v>10616</v>
      </c>
      <c r="N17" s="71">
        <v>85.2</v>
      </c>
      <c r="O17" s="71">
        <v>0</v>
      </c>
      <c r="P17" s="71">
        <v>0</v>
      </c>
      <c r="Q17" s="71">
        <v>0</v>
      </c>
      <c r="R17" s="71">
        <v>0</v>
      </c>
      <c r="S17" s="71">
        <v>0</v>
      </c>
      <c r="T17" s="71">
        <v>0</v>
      </c>
      <c r="U17">
        <v>142396.36</v>
      </c>
      <c r="V17">
        <v>0</v>
      </c>
    </row>
    <row r="18" customFormat="1" spans="1:22">
      <c r="A18" s="71" t="s">
        <v>19</v>
      </c>
      <c r="B18" s="177">
        <v>45748</v>
      </c>
      <c r="C18" s="71" t="s">
        <v>17</v>
      </c>
      <c r="D18" s="71" t="s">
        <v>20</v>
      </c>
      <c r="E18" s="71">
        <v>0.127</v>
      </c>
      <c r="F18" s="71">
        <v>23</v>
      </c>
      <c r="G18" s="71">
        <v>0.8</v>
      </c>
      <c r="H18" s="71">
        <v>0</v>
      </c>
      <c r="I18" s="71">
        <v>3.9</v>
      </c>
      <c r="J18" s="71">
        <v>149262.75</v>
      </c>
      <c r="K18" s="71">
        <v>850164.26</v>
      </c>
      <c r="L18" s="71">
        <v>68148.52</v>
      </c>
      <c r="M18" s="71">
        <v>8567</v>
      </c>
      <c r="N18" s="71">
        <v>95.6</v>
      </c>
      <c r="O18" s="71">
        <v>0</v>
      </c>
      <c r="P18" s="71">
        <v>0</v>
      </c>
      <c r="Q18" s="71">
        <v>0</v>
      </c>
      <c r="R18" s="71">
        <v>0</v>
      </c>
      <c r="S18" s="71">
        <v>0</v>
      </c>
      <c r="T18" s="71">
        <v>0</v>
      </c>
      <c r="U18">
        <v>142396.36</v>
      </c>
      <c r="V18">
        <v>0</v>
      </c>
    </row>
    <row r="19" customFormat="1" spans="1:22">
      <c r="A19" s="71" t="s">
        <v>21</v>
      </c>
      <c r="B19" s="177">
        <v>45658</v>
      </c>
      <c r="C19" s="71" t="s">
        <v>22</v>
      </c>
      <c r="D19" s="71" t="s">
        <v>23</v>
      </c>
      <c r="E19" s="71">
        <v>0.215</v>
      </c>
      <c r="F19" s="71">
        <v>26</v>
      </c>
      <c r="G19" s="71">
        <v>7.7</v>
      </c>
      <c r="H19" s="71">
        <v>1</v>
      </c>
      <c r="I19" s="71">
        <v>3.8</v>
      </c>
      <c r="J19" s="71">
        <v>136207.98</v>
      </c>
      <c r="K19" s="71">
        <v>930581.7</v>
      </c>
      <c r="L19" s="71">
        <v>71838.86</v>
      </c>
      <c r="M19" s="71">
        <v>10979</v>
      </c>
      <c r="N19" s="71">
        <v>88.6</v>
      </c>
      <c r="O19" s="71">
        <v>0</v>
      </c>
      <c r="P19" s="71">
        <v>0</v>
      </c>
      <c r="Q19" s="71">
        <v>0</v>
      </c>
      <c r="R19" s="71">
        <v>0</v>
      </c>
      <c r="S19" s="71">
        <v>0</v>
      </c>
      <c r="T19" s="71">
        <v>0</v>
      </c>
      <c r="U19" t="e">
        <v>#VALUE!</v>
      </c>
      <c r="V19" t="e">
        <v>#VALUE!</v>
      </c>
    </row>
    <row r="20" customFormat="1" spans="1:22">
      <c r="A20" s="71" t="s">
        <v>21</v>
      </c>
      <c r="B20" s="177">
        <v>45689</v>
      </c>
      <c r="C20" s="71" t="s">
        <v>22</v>
      </c>
      <c r="D20" s="71" t="s">
        <v>23</v>
      </c>
      <c r="E20" s="71">
        <v>0.22</v>
      </c>
      <c r="F20" s="71">
        <v>21</v>
      </c>
      <c r="G20" s="71">
        <v>1.91</v>
      </c>
      <c r="H20" s="71">
        <v>0</v>
      </c>
      <c r="I20" s="71">
        <v>4.2</v>
      </c>
      <c r="J20" s="71">
        <v>106328.09</v>
      </c>
      <c r="K20" s="71">
        <v>779010.94</v>
      </c>
      <c r="L20" s="71">
        <v>68133.44</v>
      </c>
      <c r="M20" s="71">
        <v>9459</v>
      </c>
      <c r="N20" s="71">
        <v>85</v>
      </c>
      <c r="O20" s="71">
        <v>0</v>
      </c>
      <c r="P20" s="71">
        <v>0</v>
      </c>
      <c r="Q20" s="71">
        <v>0</v>
      </c>
      <c r="R20" s="71">
        <v>0</v>
      </c>
      <c r="S20" s="71">
        <v>0</v>
      </c>
      <c r="T20" s="71">
        <v>1</v>
      </c>
      <c r="U20">
        <v>729243.28429175</v>
      </c>
      <c r="V20">
        <v>516436.26</v>
      </c>
    </row>
    <row r="21" customFormat="1" spans="1:22">
      <c r="A21" s="71" t="s">
        <v>21</v>
      </c>
      <c r="B21" s="177">
        <v>45717</v>
      </c>
      <c r="C21" s="71" t="s">
        <v>22</v>
      </c>
      <c r="D21" s="71" t="s">
        <v>23</v>
      </c>
      <c r="E21" s="71">
        <v>0.213</v>
      </c>
      <c r="F21" s="71">
        <v>22</v>
      </c>
      <c r="G21" s="71">
        <v>10.46</v>
      </c>
      <c r="H21" s="71">
        <v>1</v>
      </c>
      <c r="I21" s="71">
        <v>3.8</v>
      </c>
      <c r="J21" s="71">
        <v>123131.24</v>
      </c>
      <c r="K21" s="71">
        <v>723060.76</v>
      </c>
      <c r="L21" s="71">
        <v>34285.21</v>
      </c>
      <c r="M21" s="71">
        <v>9172</v>
      </c>
      <c r="N21" s="71">
        <v>88.3</v>
      </c>
      <c r="O21" s="71">
        <v>0</v>
      </c>
      <c r="P21" s="71">
        <v>0</v>
      </c>
      <c r="Q21" s="71">
        <v>0</v>
      </c>
      <c r="R21" s="71">
        <v>0</v>
      </c>
      <c r="S21" s="71">
        <v>0</v>
      </c>
      <c r="T21" s="71">
        <v>1</v>
      </c>
      <c r="U21">
        <v>731779.056676545</v>
      </c>
      <c r="V21">
        <v>492039.64</v>
      </c>
    </row>
    <row r="22" customFormat="1" spans="1:22">
      <c r="A22" s="71" t="s">
        <v>21</v>
      </c>
      <c r="B22" s="177">
        <v>45748</v>
      </c>
      <c r="C22" s="71" t="s">
        <v>22</v>
      </c>
      <c r="D22" s="71" t="s">
        <v>23</v>
      </c>
      <c r="E22" s="71">
        <v>0.002</v>
      </c>
      <c r="F22" s="71">
        <v>28</v>
      </c>
      <c r="G22" s="71">
        <v>7.16</v>
      </c>
      <c r="H22" s="71">
        <v>0</v>
      </c>
      <c r="I22" s="71">
        <v>3.8</v>
      </c>
      <c r="J22" s="71">
        <v>158891.28</v>
      </c>
      <c r="K22" s="71">
        <v>910791.94</v>
      </c>
      <c r="L22" s="71">
        <v>67979.88</v>
      </c>
      <c r="M22" s="71">
        <v>11230</v>
      </c>
      <c r="N22" s="71">
        <v>85.3</v>
      </c>
      <c r="O22" s="71">
        <v>0</v>
      </c>
      <c r="P22" s="71">
        <v>0</v>
      </c>
      <c r="Q22" s="71">
        <v>0</v>
      </c>
      <c r="R22" s="71">
        <v>0</v>
      </c>
      <c r="S22" s="71">
        <v>0</v>
      </c>
      <c r="T22" s="71">
        <v>1</v>
      </c>
      <c r="U22">
        <v>782761.140460241</v>
      </c>
      <c r="V22">
        <v>536325.7</v>
      </c>
    </row>
    <row r="23" customFormat="1" spans="1:22">
      <c r="A23" s="71" t="s">
        <v>24</v>
      </c>
      <c r="B23" s="177">
        <v>45658</v>
      </c>
      <c r="C23" s="71" t="s">
        <v>17</v>
      </c>
      <c r="D23" s="71" t="s">
        <v>18</v>
      </c>
      <c r="E23" s="71">
        <v>0.116</v>
      </c>
      <c r="F23" s="71">
        <v>30</v>
      </c>
      <c r="G23" s="71">
        <v>4.24</v>
      </c>
      <c r="H23" s="71">
        <v>1</v>
      </c>
      <c r="I23" s="71">
        <v>4.2</v>
      </c>
      <c r="J23" s="71">
        <v>107494.53</v>
      </c>
      <c r="K23" s="71">
        <v>922168.6</v>
      </c>
      <c r="L23" s="71">
        <v>71828.26</v>
      </c>
      <c r="M23" s="71">
        <v>12775</v>
      </c>
      <c r="N23" s="71">
        <v>81.7</v>
      </c>
      <c r="O23" s="71">
        <v>0</v>
      </c>
      <c r="P23" s="71">
        <v>0</v>
      </c>
      <c r="Q23" s="71">
        <v>0</v>
      </c>
      <c r="R23" s="71">
        <v>0</v>
      </c>
      <c r="S23" s="71">
        <v>0</v>
      </c>
      <c r="T23" s="71">
        <v>1</v>
      </c>
      <c r="U23">
        <v>786628.703529532</v>
      </c>
      <c r="V23">
        <v>516523.94</v>
      </c>
    </row>
    <row r="24" customFormat="1" spans="1:22">
      <c r="A24" s="71" t="s">
        <v>24</v>
      </c>
      <c r="B24" s="177">
        <v>45689</v>
      </c>
      <c r="C24" s="71" t="s">
        <v>17</v>
      </c>
      <c r="D24" s="71" t="s">
        <v>18</v>
      </c>
      <c r="E24" s="71">
        <v>0.146</v>
      </c>
      <c r="F24" s="71">
        <v>24</v>
      </c>
      <c r="G24" s="71">
        <v>1.06</v>
      </c>
      <c r="H24" s="71">
        <v>0</v>
      </c>
      <c r="I24" s="71">
        <v>4.3</v>
      </c>
      <c r="J24" s="71">
        <v>122729.29</v>
      </c>
      <c r="K24" s="71">
        <v>726606.28</v>
      </c>
      <c r="L24" s="71">
        <v>55716.82</v>
      </c>
      <c r="M24" s="71">
        <v>10054</v>
      </c>
      <c r="N24" s="71">
        <v>84.9</v>
      </c>
      <c r="O24" s="71">
        <v>0</v>
      </c>
      <c r="P24" s="71">
        <v>0</v>
      </c>
      <c r="Q24" s="71">
        <v>0</v>
      </c>
      <c r="R24" s="71">
        <v>1</v>
      </c>
      <c r="S24" s="71">
        <v>0</v>
      </c>
      <c r="T24" s="71">
        <v>0</v>
      </c>
      <c r="U24">
        <v>812139.835428451</v>
      </c>
      <c r="V24">
        <v>598945.08</v>
      </c>
    </row>
    <row r="25" customFormat="1" spans="1:22">
      <c r="A25" s="71" t="s">
        <v>24</v>
      </c>
      <c r="B25" s="177">
        <v>45717</v>
      </c>
      <c r="C25" s="71" t="s">
        <v>17</v>
      </c>
      <c r="D25" s="71" t="s">
        <v>18</v>
      </c>
      <c r="E25" s="71">
        <v>0.228</v>
      </c>
      <c r="F25" s="71">
        <v>23</v>
      </c>
      <c r="G25" s="71">
        <v>0.27</v>
      </c>
      <c r="H25" s="71">
        <v>0</v>
      </c>
      <c r="I25" s="71">
        <v>4.3</v>
      </c>
      <c r="J25" s="71">
        <v>136816.72</v>
      </c>
      <c r="K25" s="71">
        <v>746501.09</v>
      </c>
      <c r="L25" s="71">
        <v>59909.51</v>
      </c>
      <c r="M25" s="71">
        <v>8895</v>
      </c>
      <c r="N25" s="71">
        <v>88.8</v>
      </c>
      <c r="O25" s="71">
        <v>0</v>
      </c>
      <c r="P25" s="71">
        <v>0</v>
      </c>
      <c r="Q25" s="71">
        <v>0</v>
      </c>
      <c r="R25" s="71">
        <v>1</v>
      </c>
      <c r="S25" s="71">
        <v>0</v>
      </c>
      <c r="T25" s="71">
        <v>0</v>
      </c>
      <c r="U25">
        <v>800309.553678356</v>
      </c>
      <c r="V25">
        <v>619438.98</v>
      </c>
    </row>
    <row r="26" customFormat="1" spans="1:22">
      <c r="A26" s="71" t="s">
        <v>24</v>
      </c>
      <c r="B26" s="177">
        <v>45748</v>
      </c>
      <c r="C26" s="71" t="s">
        <v>17</v>
      </c>
      <c r="D26" s="71" t="s">
        <v>18</v>
      </c>
      <c r="E26" s="71">
        <v>0.006</v>
      </c>
      <c r="F26" s="71">
        <v>26</v>
      </c>
      <c r="G26" s="71">
        <v>1.32</v>
      </c>
      <c r="H26" s="71">
        <v>0</v>
      </c>
      <c r="I26" s="71">
        <v>4.5</v>
      </c>
      <c r="J26" s="71">
        <v>114745.03</v>
      </c>
      <c r="K26" s="71">
        <v>834017.02</v>
      </c>
      <c r="L26" s="71">
        <v>75305.71</v>
      </c>
      <c r="M26" s="71">
        <v>10940</v>
      </c>
      <c r="N26" s="71">
        <v>76.5</v>
      </c>
      <c r="O26" s="71">
        <v>0</v>
      </c>
      <c r="P26" s="71">
        <v>0</v>
      </c>
      <c r="Q26" s="71">
        <v>0</v>
      </c>
      <c r="R26" s="71">
        <v>1</v>
      </c>
      <c r="S26" s="71">
        <v>0</v>
      </c>
      <c r="T26" s="71">
        <v>0</v>
      </c>
      <c r="U26">
        <v>809070.514145735</v>
      </c>
      <c r="V26">
        <v>664219.18</v>
      </c>
    </row>
    <row r="27" customFormat="1" spans="1:22">
      <c r="A27" s="71" t="s">
        <v>25</v>
      </c>
      <c r="B27" s="177">
        <v>45658</v>
      </c>
      <c r="C27" s="71" t="s">
        <v>26</v>
      </c>
      <c r="D27" s="71" t="s">
        <v>18</v>
      </c>
      <c r="E27" s="71">
        <v>0.005</v>
      </c>
      <c r="F27" s="71">
        <v>15</v>
      </c>
      <c r="G27" s="71">
        <v>1.22</v>
      </c>
      <c r="H27" s="71">
        <v>0</v>
      </c>
      <c r="I27" s="71">
        <v>3.7</v>
      </c>
      <c r="J27" s="71">
        <v>107490.58</v>
      </c>
      <c r="K27" s="71">
        <v>666152.52</v>
      </c>
      <c r="L27" s="71">
        <v>48804.22</v>
      </c>
      <c r="M27" s="71">
        <v>7057</v>
      </c>
      <c r="N27" s="71">
        <v>87.7</v>
      </c>
      <c r="O27" s="71">
        <v>0</v>
      </c>
      <c r="P27" s="71">
        <v>0</v>
      </c>
      <c r="Q27" s="71">
        <v>0</v>
      </c>
      <c r="R27" s="71">
        <v>1</v>
      </c>
      <c r="S27" s="71">
        <v>0</v>
      </c>
      <c r="T27" s="71">
        <v>0</v>
      </c>
      <c r="U27">
        <v>796555.687078057</v>
      </c>
      <c r="V27">
        <v>707767.9</v>
      </c>
    </row>
    <row r="28" customFormat="1" spans="1:22">
      <c r="A28" s="71" t="s">
        <v>25</v>
      </c>
      <c r="B28" s="177">
        <v>45689</v>
      </c>
      <c r="C28" s="71" t="s">
        <v>26</v>
      </c>
      <c r="D28" s="71" t="s">
        <v>18</v>
      </c>
      <c r="E28" s="71">
        <v>0.119</v>
      </c>
      <c r="F28" s="71">
        <v>9</v>
      </c>
      <c r="G28" s="71">
        <v>4.01</v>
      </c>
      <c r="H28" s="71">
        <v>0</v>
      </c>
      <c r="I28" s="71">
        <v>3.6</v>
      </c>
      <c r="J28" s="71">
        <v>83680.75</v>
      </c>
      <c r="K28" s="71">
        <v>573155.19</v>
      </c>
      <c r="L28" s="71">
        <v>59117.9</v>
      </c>
      <c r="M28" s="71">
        <v>4263</v>
      </c>
      <c r="N28" s="71">
        <v>87.6</v>
      </c>
      <c r="O28" s="71">
        <v>1</v>
      </c>
      <c r="P28" s="71">
        <v>0</v>
      </c>
      <c r="Q28" s="71">
        <v>0</v>
      </c>
      <c r="R28" s="71">
        <v>0</v>
      </c>
      <c r="S28" s="71">
        <v>0</v>
      </c>
      <c r="T28" s="71">
        <v>0</v>
      </c>
      <c r="U28">
        <v>861882.106262991</v>
      </c>
      <c r="V28" t="e">
        <v>#VALUE!</v>
      </c>
    </row>
    <row r="29" customFormat="1" spans="1:22">
      <c r="A29" s="71" t="s">
        <v>25</v>
      </c>
      <c r="B29" s="177">
        <v>45717</v>
      </c>
      <c r="C29" s="71" t="s">
        <v>26</v>
      </c>
      <c r="D29" s="71" t="s">
        <v>18</v>
      </c>
      <c r="E29" s="71">
        <v>0</v>
      </c>
      <c r="F29" s="71">
        <v>15</v>
      </c>
      <c r="G29" s="71">
        <v>0.2</v>
      </c>
      <c r="H29" s="71">
        <v>0</v>
      </c>
      <c r="I29" s="71">
        <v>3.9</v>
      </c>
      <c r="J29" s="71">
        <v>140641.02</v>
      </c>
      <c r="K29" s="71">
        <v>666573.2</v>
      </c>
      <c r="L29" s="71">
        <v>78831.12</v>
      </c>
      <c r="M29" s="71">
        <v>5538</v>
      </c>
      <c r="N29" s="71">
        <v>94.1</v>
      </c>
      <c r="O29" s="71">
        <v>1</v>
      </c>
      <c r="P29" s="71">
        <v>0</v>
      </c>
      <c r="Q29" s="71">
        <v>0</v>
      </c>
      <c r="R29" s="71">
        <v>0</v>
      </c>
      <c r="S29" s="71">
        <v>0</v>
      </c>
      <c r="T29" s="71">
        <v>0</v>
      </c>
      <c r="U29">
        <v>755722.579334975</v>
      </c>
      <c r="V29">
        <v>49767.6557082499</v>
      </c>
    </row>
    <row r="30" customFormat="1" spans="1:22">
      <c r="A30" s="71" t="s">
        <v>25</v>
      </c>
      <c r="B30" s="177">
        <v>45748</v>
      </c>
      <c r="C30" s="71" t="s">
        <v>26</v>
      </c>
      <c r="D30" s="71" t="s">
        <v>18</v>
      </c>
      <c r="E30" s="71">
        <v>0.158</v>
      </c>
      <c r="F30" s="71">
        <v>16</v>
      </c>
      <c r="G30" s="71">
        <v>0.5</v>
      </c>
      <c r="H30" s="71">
        <v>0</v>
      </c>
      <c r="I30" s="71">
        <v>4</v>
      </c>
      <c r="J30" s="71">
        <v>99521.35</v>
      </c>
      <c r="K30" s="71">
        <v>591619.95</v>
      </c>
      <c r="L30" s="71">
        <v>41441.93</v>
      </c>
      <c r="M30" s="71">
        <v>4865</v>
      </c>
      <c r="N30" s="71">
        <v>88.3</v>
      </c>
      <c r="O30" s="71">
        <v>1</v>
      </c>
      <c r="P30" s="71">
        <v>0</v>
      </c>
      <c r="Q30" s="71">
        <v>0</v>
      </c>
      <c r="R30" s="71">
        <v>0</v>
      </c>
      <c r="S30" s="71">
        <v>0</v>
      </c>
      <c r="T30" s="71">
        <v>0</v>
      </c>
      <c r="U30">
        <v>715553.192769825</v>
      </c>
      <c r="V30">
        <v>-8718.29667654494</v>
      </c>
    </row>
    <row r="31" customFormat="1" spans="1:22">
      <c r="A31" s="71" t="s">
        <v>27</v>
      </c>
      <c r="B31" s="177">
        <v>45658</v>
      </c>
      <c r="C31" s="71" t="s">
        <v>22</v>
      </c>
      <c r="D31" s="71" t="s">
        <v>18</v>
      </c>
      <c r="E31" s="71">
        <v>0.231</v>
      </c>
      <c r="F31" s="71">
        <v>9</v>
      </c>
      <c r="G31" s="71">
        <v>6.95</v>
      </c>
      <c r="H31" s="71">
        <v>0</v>
      </c>
      <c r="I31" s="71">
        <v>5</v>
      </c>
      <c r="J31" s="71">
        <v>61179.15</v>
      </c>
      <c r="K31" s="71">
        <v>415721.82</v>
      </c>
      <c r="L31" s="71">
        <v>30356.28</v>
      </c>
      <c r="M31" s="71">
        <v>2822</v>
      </c>
      <c r="N31" s="71">
        <v>84.8</v>
      </c>
      <c r="O31" s="71">
        <v>1</v>
      </c>
      <c r="P31" s="71">
        <v>0</v>
      </c>
      <c r="Q31" s="71">
        <v>0</v>
      </c>
      <c r="R31" s="71">
        <v>0</v>
      </c>
      <c r="S31" s="71">
        <v>0</v>
      </c>
      <c r="T31" s="71">
        <v>0</v>
      </c>
      <c r="U31">
        <v>816394.204997945</v>
      </c>
      <c r="V31">
        <v>128030.799539759</v>
      </c>
    </row>
    <row r="32" customFormat="1" spans="1:22">
      <c r="A32" s="71" t="s">
        <v>27</v>
      </c>
      <c r="B32" s="177">
        <v>45689</v>
      </c>
      <c r="C32" s="71" t="s">
        <v>22</v>
      </c>
      <c r="D32" s="71" t="s">
        <v>18</v>
      </c>
      <c r="E32" s="71">
        <v>0.176</v>
      </c>
      <c r="F32" s="71">
        <v>8</v>
      </c>
      <c r="G32" s="71">
        <v>0.2</v>
      </c>
      <c r="H32" s="71">
        <v>0</v>
      </c>
      <c r="I32" s="71">
        <v>5</v>
      </c>
      <c r="J32" s="71">
        <v>79212.26</v>
      </c>
      <c r="K32" s="71">
        <v>491905.13</v>
      </c>
      <c r="L32" s="71">
        <v>33518.88</v>
      </c>
      <c r="M32" s="71">
        <v>2121</v>
      </c>
      <c r="N32" s="71">
        <v>88.5</v>
      </c>
      <c r="O32" s="71">
        <v>0</v>
      </c>
      <c r="P32" s="71">
        <v>0</v>
      </c>
      <c r="Q32" s="71">
        <v>0</v>
      </c>
      <c r="R32" s="71">
        <v>0</v>
      </c>
      <c r="S32" s="71">
        <v>0</v>
      </c>
      <c r="T32" s="71">
        <v>1</v>
      </c>
      <c r="U32">
        <v>862620.294651508</v>
      </c>
      <c r="V32">
        <v>135539.896470468</v>
      </c>
    </row>
    <row r="33" customFormat="1" spans="1:22">
      <c r="A33" s="71" t="s">
        <v>27</v>
      </c>
      <c r="B33" s="177">
        <v>45717</v>
      </c>
      <c r="C33" s="71" t="s">
        <v>22</v>
      </c>
      <c r="D33" s="71" t="s">
        <v>18</v>
      </c>
      <c r="E33" s="71">
        <v>0.16</v>
      </c>
      <c r="F33" s="71">
        <v>13</v>
      </c>
      <c r="G33" s="71">
        <v>1.61</v>
      </c>
      <c r="H33" s="71">
        <v>1</v>
      </c>
      <c r="I33" s="71">
        <v>4.6</v>
      </c>
      <c r="J33" s="71">
        <v>115201.76</v>
      </c>
      <c r="K33" s="71">
        <v>555929.4</v>
      </c>
      <c r="L33" s="71">
        <v>42267.37</v>
      </c>
      <c r="M33" s="71">
        <v>3364</v>
      </c>
      <c r="N33" s="71">
        <v>82</v>
      </c>
      <c r="O33" s="71">
        <v>0</v>
      </c>
      <c r="P33" s="71">
        <v>0</v>
      </c>
      <c r="Q33" s="71">
        <v>0</v>
      </c>
      <c r="R33" s="71">
        <v>0</v>
      </c>
      <c r="S33" s="71">
        <v>0</v>
      </c>
      <c r="T33" s="71">
        <v>1</v>
      </c>
      <c r="U33">
        <v>777394.135848463</v>
      </c>
      <c r="V33">
        <v>-85533.5554284512</v>
      </c>
    </row>
    <row r="34" customFormat="1" spans="1:22">
      <c r="A34" s="71" t="s">
        <v>27</v>
      </c>
      <c r="B34" s="177">
        <v>45748</v>
      </c>
      <c r="C34" s="71" t="s">
        <v>22</v>
      </c>
      <c r="D34" s="71" t="s">
        <v>18</v>
      </c>
      <c r="E34" s="71">
        <v>0.216</v>
      </c>
      <c r="F34" s="71">
        <v>12</v>
      </c>
      <c r="G34" s="71">
        <v>1.55</v>
      </c>
      <c r="H34" s="71">
        <v>0</v>
      </c>
      <c r="I34" s="71">
        <v>4.7</v>
      </c>
      <c r="J34" s="71">
        <v>77825.46</v>
      </c>
      <c r="K34" s="71">
        <v>565810.99</v>
      </c>
      <c r="L34" s="71">
        <v>62060.43</v>
      </c>
      <c r="M34" s="71">
        <v>2613</v>
      </c>
      <c r="N34" s="71">
        <v>92.1</v>
      </c>
      <c r="O34" s="71">
        <v>0</v>
      </c>
      <c r="P34" s="71">
        <v>0</v>
      </c>
      <c r="Q34" s="71">
        <v>0</v>
      </c>
      <c r="R34" s="71">
        <v>0</v>
      </c>
      <c r="S34" s="71">
        <v>0</v>
      </c>
      <c r="T34" s="71">
        <v>1</v>
      </c>
      <c r="U34">
        <v>754681.984684752</v>
      </c>
      <c r="V34">
        <v>-53808.4636783556</v>
      </c>
    </row>
    <row r="35" customFormat="1" spans="1:22">
      <c r="A35" s="71" t="s">
        <v>28</v>
      </c>
      <c r="B35" s="177">
        <v>45658</v>
      </c>
      <c r="C35" s="71" t="s">
        <v>29</v>
      </c>
      <c r="D35" s="71" t="s">
        <v>30</v>
      </c>
      <c r="E35" s="71">
        <v>0.121</v>
      </c>
      <c r="F35" s="71">
        <v>25</v>
      </c>
      <c r="G35" s="71">
        <v>2.99</v>
      </c>
      <c r="H35" s="71">
        <v>0</v>
      </c>
      <c r="I35" s="71">
        <v>3.5</v>
      </c>
      <c r="J35" s="71">
        <v>148756.24</v>
      </c>
      <c r="K35" s="71">
        <v>811771.14</v>
      </c>
      <c r="L35" s="71">
        <v>57696.69</v>
      </c>
      <c r="M35" s="71">
        <v>10218</v>
      </c>
      <c r="N35" s="71">
        <v>94.8</v>
      </c>
      <c r="O35" s="71">
        <v>0</v>
      </c>
      <c r="P35" s="71">
        <v>0</v>
      </c>
      <c r="Q35" s="71">
        <v>0</v>
      </c>
      <c r="R35" s="71">
        <v>0</v>
      </c>
      <c r="S35" s="71">
        <v>0</v>
      </c>
      <c r="T35" s="71">
        <v>1</v>
      </c>
      <c r="U35">
        <v>805797.869948023</v>
      </c>
      <c r="V35">
        <v>24946.5058542653</v>
      </c>
    </row>
    <row r="36" customFormat="1" spans="1:22">
      <c r="A36" s="71" t="s">
        <v>28</v>
      </c>
      <c r="B36" s="177">
        <v>45689</v>
      </c>
      <c r="C36" s="71" t="s">
        <v>29</v>
      </c>
      <c r="D36" s="71" t="s">
        <v>30</v>
      </c>
      <c r="E36" s="71">
        <v>0.14</v>
      </c>
      <c r="F36" s="71">
        <v>22</v>
      </c>
      <c r="G36" s="71">
        <v>7.04</v>
      </c>
      <c r="H36" s="71">
        <v>0</v>
      </c>
      <c r="I36" s="71">
        <v>3.9</v>
      </c>
      <c r="J36" s="71">
        <v>111572.29</v>
      </c>
      <c r="K36" s="71">
        <v>800451.94</v>
      </c>
      <c r="L36" s="71">
        <v>172415.52</v>
      </c>
      <c r="M36" s="71">
        <v>8927</v>
      </c>
      <c r="N36" s="71">
        <v>86.2</v>
      </c>
      <c r="O36" s="71">
        <v>0</v>
      </c>
      <c r="P36" s="71">
        <v>1</v>
      </c>
      <c r="Q36" s="71">
        <v>0</v>
      </c>
      <c r="R36" s="71">
        <v>0</v>
      </c>
      <c r="S36" s="71">
        <v>0</v>
      </c>
      <c r="T36" s="71">
        <v>1</v>
      </c>
      <c r="U36">
        <v>675993.19107635</v>
      </c>
      <c r="V36">
        <v>-130403.167078057</v>
      </c>
    </row>
    <row r="37" customFormat="1" spans="1:22">
      <c r="A37" s="71" t="s">
        <v>28</v>
      </c>
      <c r="B37" s="177">
        <v>45717</v>
      </c>
      <c r="C37" s="71" t="s">
        <v>29</v>
      </c>
      <c r="D37" s="71" t="s">
        <v>30</v>
      </c>
      <c r="E37" s="71">
        <v>0.169</v>
      </c>
      <c r="F37" s="71">
        <v>23</v>
      </c>
      <c r="G37" s="71">
        <v>4.94</v>
      </c>
      <c r="H37" s="71">
        <v>0</v>
      </c>
      <c r="I37" s="71">
        <v>4</v>
      </c>
      <c r="J37" s="71">
        <v>112577.14</v>
      </c>
      <c r="K37" s="71">
        <v>783672.82</v>
      </c>
      <c r="L37" s="71">
        <v>55270.52</v>
      </c>
      <c r="M37" s="71">
        <v>9315</v>
      </c>
      <c r="N37" s="71">
        <v>91.9</v>
      </c>
      <c r="O37" s="71">
        <v>0</v>
      </c>
      <c r="P37" s="71">
        <v>1</v>
      </c>
      <c r="Q37" s="71">
        <v>0</v>
      </c>
      <c r="R37" s="71">
        <v>0</v>
      </c>
      <c r="S37" s="71">
        <v>0</v>
      </c>
      <c r="T37" s="71">
        <v>1</v>
      </c>
      <c r="U37">
        <v>624759.809196714</v>
      </c>
      <c r="V37">
        <v>-288726.916262991</v>
      </c>
    </row>
    <row r="38" customFormat="1" spans="1:22">
      <c r="A38" s="71" t="s">
        <v>28</v>
      </c>
      <c r="B38" s="177">
        <v>45748</v>
      </c>
      <c r="C38" s="71" t="s">
        <v>29</v>
      </c>
      <c r="D38" s="71" t="s">
        <v>30</v>
      </c>
      <c r="E38" s="71">
        <v>0.122</v>
      </c>
      <c r="F38" s="71">
        <v>16</v>
      </c>
      <c r="G38" s="71">
        <v>16.15</v>
      </c>
      <c r="H38" s="71">
        <v>0</v>
      </c>
      <c r="I38" s="71">
        <v>3.7</v>
      </c>
      <c r="J38" s="71">
        <v>106111.86</v>
      </c>
      <c r="K38" s="71">
        <v>701641.97</v>
      </c>
      <c r="L38" s="71">
        <v>52715.1</v>
      </c>
      <c r="M38" s="71">
        <v>7223</v>
      </c>
      <c r="N38" s="71">
        <v>84.2</v>
      </c>
      <c r="O38" s="71">
        <v>0</v>
      </c>
      <c r="P38" s="71">
        <v>1</v>
      </c>
      <c r="Q38" s="71">
        <v>0</v>
      </c>
      <c r="R38" s="71">
        <v>0</v>
      </c>
      <c r="S38" s="71">
        <v>0</v>
      </c>
      <c r="T38" s="71">
        <v>1</v>
      </c>
      <c r="U38">
        <v>710605.69169988</v>
      </c>
      <c r="V38">
        <v>-89149.3793349752</v>
      </c>
    </row>
    <row r="39" customFormat="1" spans="1:22">
      <c r="A39" s="71" t="s">
        <v>31</v>
      </c>
      <c r="B39" s="177">
        <v>45658</v>
      </c>
      <c r="C39" s="71" t="s">
        <v>17</v>
      </c>
      <c r="D39" s="71" t="s">
        <v>18</v>
      </c>
      <c r="E39" s="71">
        <v>0.124</v>
      </c>
      <c r="F39" s="71">
        <v>11</v>
      </c>
      <c r="G39" s="71">
        <v>0.48</v>
      </c>
      <c r="H39" s="71">
        <v>0</v>
      </c>
      <c r="I39" s="71">
        <v>3.6</v>
      </c>
      <c r="J39" s="71">
        <v>72774.44</v>
      </c>
      <c r="K39" s="71">
        <v>511844.41</v>
      </c>
      <c r="L39" s="71">
        <v>68600.62</v>
      </c>
      <c r="M39" s="71">
        <v>3988</v>
      </c>
      <c r="N39" s="71">
        <v>85</v>
      </c>
      <c r="O39" s="71">
        <v>0</v>
      </c>
      <c r="P39" s="71">
        <v>1</v>
      </c>
      <c r="Q39" s="71">
        <v>0</v>
      </c>
      <c r="R39" s="71">
        <v>0</v>
      </c>
      <c r="S39" s="71">
        <v>0</v>
      </c>
      <c r="T39" s="71">
        <v>1</v>
      </c>
      <c r="U39">
        <v>626210.926476953</v>
      </c>
      <c r="V39">
        <v>-123933.242769826</v>
      </c>
    </row>
    <row r="40" customFormat="1" spans="1:22">
      <c r="A40" s="71" t="s">
        <v>31</v>
      </c>
      <c r="B40" s="177">
        <v>45689</v>
      </c>
      <c r="C40" s="71" t="s">
        <v>17</v>
      </c>
      <c r="D40" s="71" t="s">
        <v>18</v>
      </c>
      <c r="E40" s="71">
        <v>0.216</v>
      </c>
      <c r="F40" s="71">
        <v>9</v>
      </c>
      <c r="G40" s="71">
        <v>0.31</v>
      </c>
      <c r="H40" s="71">
        <v>0</v>
      </c>
      <c r="I40" s="71">
        <v>3.1</v>
      </c>
      <c r="J40" s="71">
        <v>63773.27</v>
      </c>
      <c r="K40" s="71">
        <v>537383.79</v>
      </c>
      <c r="L40" s="71">
        <v>63176.73</v>
      </c>
      <c r="M40" s="71">
        <v>2390</v>
      </c>
      <c r="N40" s="71">
        <v>87.5</v>
      </c>
      <c r="O40" s="71">
        <v>1</v>
      </c>
      <c r="P40" s="71">
        <v>0</v>
      </c>
      <c r="Q40" s="71">
        <v>0</v>
      </c>
      <c r="R40" s="71">
        <v>0</v>
      </c>
      <c r="S40" s="71">
        <v>0</v>
      </c>
      <c r="T40" s="71">
        <v>1</v>
      </c>
      <c r="U40">
        <v>533497.161015687</v>
      </c>
      <c r="V40">
        <v>-400672.384997945</v>
      </c>
    </row>
    <row r="41" customFormat="1" spans="1:22">
      <c r="A41" s="71" t="s">
        <v>31</v>
      </c>
      <c r="B41" s="177">
        <v>45717</v>
      </c>
      <c r="C41" s="71" t="s">
        <v>17</v>
      </c>
      <c r="D41" s="71" t="s">
        <v>18</v>
      </c>
      <c r="E41" s="71">
        <v>0.136</v>
      </c>
      <c r="F41" s="71">
        <v>11</v>
      </c>
      <c r="G41" s="71">
        <v>3.01</v>
      </c>
      <c r="H41" s="71">
        <v>1</v>
      </c>
      <c r="I41" s="71">
        <v>3.7</v>
      </c>
      <c r="J41" s="71">
        <v>70982.05</v>
      </c>
      <c r="K41" s="71">
        <v>500173.02</v>
      </c>
      <c r="L41" s="71">
        <v>44970.08</v>
      </c>
      <c r="M41" s="71">
        <v>2471</v>
      </c>
      <c r="N41" s="71">
        <v>87.6</v>
      </c>
      <c r="O41" s="71">
        <v>1</v>
      </c>
      <c r="P41" s="71">
        <v>0</v>
      </c>
      <c r="Q41" s="71">
        <v>0</v>
      </c>
      <c r="R41" s="71">
        <v>0</v>
      </c>
      <c r="S41" s="71">
        <v>0</v>
      </c>
      <c r="T41" s="71">
        <v>1</v>
      </c>
      <c r="U41">
        <v>476489.23150743</v>
      </c>
      <c r="V41">
        <v>-370715.164651508</v>
      </c>
    </row>
    <row r="42" customFormat="1" spans="1:22">
      <c r="A42" s="71" t="s">
        <v>31</v>
      </c>
      <c r="B42" s="177">
        <v>45748</v>
      </c>
      <c r="C42" s="71" t="s">
        <v>17</v>
      </c>
      <c r="D42" s="71" t="s">
        <v>18</v>
      </c>
      <c r="E42" s="71">
        <v>0.168</v>
      </c>
      <c r="F42" s="71">
        <v>5</v>
      </c>
      <c r="G42" s="71">
        <v>12.15</v>
      </c>
      <c r="H42" s="71">
        <v>0</v>
      </c>
      <c r="I42" s="71">
        <v>3.6</v>
      </c>
      <c r="J42" s="71">
        <v>81824.31</v>
      </c>
      <c r="K42" s="71">
        <v>427917.38</v>
      </c>
      <c r="L42" s="71">
        <v>69816.35</v>
      </c>
      <c r="M42" s="71">
        <v>971</v>
      </c>
      <c r="N42" s="71">
        <v>89.9</v>
      </c>
      <c r="O42" s="71">
        <v>1</v>
      </c>
      <c r="P42" s="71">
        <v>0</v>
      </c>
      <c r="Q42" s="71">
        <v>0</v>
      </c>
      <c r="R42" s="71">
        <v>0</v>
      </c>
      <c r="S42" s="71">
        <v>0</v>
      </c>
      <c r="T42" s="71">
        <v>1</v>
      </c>
      <c r="U42">
        <v>509725.057478588</v>
      </c>
      <c r="V42">
        <v>-221464.735848463</v>
      </c>
    </row>
    <row r="43" customFormat="1" spans="1:22">
      <c r="A43" s="71" t="s">
        <v>32</v>
      </c>
      <c r="B43" s="177">
        <v>45658</v>
      </c>
      <c r="C43" s="71" t="s">
        <v>22</v>
      </c>
      <c r="D43" s="71" t="s">
        <v>18</v>
      </c>
      <c r="E43" s="71">
        <v>0.188</v>
      </c>
      <c r="F43" s="71">
        <v>21</v>
      </c>
      <c r="G43" s="71">
        <v>11.71</v>
      </c>
      <c r="H43" s="71">
        <v>0</v>
      </c>
      <c r="I43" s="71">
        <v>4.2</v>
      </c>
      <c r="J43" s="71">
        <v>81342.58</v>
      </c>
      <c r="K43" s="71">
        <v>641865.03</v>
      </c>
      <c r="L43" s="71">
        <v>54597.83</v>
      </c>
      <c r="M43" s="71">
        <v>9429</v>
      </c>
      <c r="N43" s="71">
        <v>83.3</v>
      </c>
      <c r="O43" s="71">
        <v>1</v>
      </c>
      <c r="P43" s="71">
        <v>0</v>
      </c>
      <c r="Q43" s="71">
        <v>0</v>
      </c>
      <c r="R43" s="71">
        <v>0</v>
      </c>
      <c r="S43" s="71">
        <v>0</v>
      </c>
      <c r="T43" s="71">
        <v>1</v>
      </c>
      <c r="U43">
        <v>537726.411790041</v>
      </c>
      <c r="V43">
        <v>-188870.994684752</v>
      </c>
    </row>
    <row r="44" customFormat="1" spans="1:22">
      <c r="A44" s="71" t="s">
        <v>32</v>
      </c>
      <c r="B44" s="177">
        <v>45689</v>
      </c>
      <c r="C44" s="71" t="s">
        <v>22</v>
      </c>
      <c r="D44" s="71" t="s">
        <v>18</v>
      </c>
      <c r="E44" s="71">
        <v>0.07</v>
      </c>
      <c r="F44" s="71">
        <v>25</v>
      </c>
      <c r="G44" s="71">
        <v>0.62</v>
      </c>
      <c r="H44" s="71">
        <v>0</v>
      </c>
      <c r="I44" s="71">
        <v>3.95</v>
      </c>
      <c r="J44" s="71">
        <v>164974.41</v>
      </c>
      <c r="K44" s="71">
        <v>799477.76</v>
      </c>
      <c r="L44" s="71">
        <v>73771.91</v>
      </c>
      <c r="M44" s="71">
        <v>11695</v>
      </c>
      <c r="N44" s="71">
        <v>84.7</v>
      </c>
      <c r="O44" s="71">
        <v>0</v>
      </c>
      <c r="P44" s="71">
        <v>0</v>
      </c>
      <c r="Q44" s="71">
        <v>1</v>
      </c>
      <c r="R44" s="71">
        <v>0</v>
      </c>
      <c r="S44" s="71">
        <v>1</v>
      </c>
      <c r="T44" s="71">
        <v>0</v>
      </c>
      <c r="U44">
        <v>798040.034800389</v>
      </c>
      <c r="V44">
        <v>5973.27005197702</v>
      </c>
    </row>
    <row r="45" customFormat="1" spans="1:22">
      <c r="A45" s="71" t="s">
        <v>32</v>
      </c>
      <c r="B45" s="177">
        <v>45717</v>
      </c>
      <c r="C45" s="71" t="s">
        <v>22</v>
      </c>
      <c r="D45" s="71" t="s">
        <v>18</v>
      </c>
      <c r="E45" s="71">
        <v>0.039</v>
      </c>
      <c r="F45" s="71">
        <v>23</v>
      </c>
      <c r="G45" s="71">
        <v>2.12</v>
      </c>
      <c r="H45" s="71">
        <v>0</v>
      </c>
      <c r="I45" s="71">
        <v>3.5</v>
      </c>
      <c r="J45" s="71">
        <v>161499.04</v>
      </c>
      <c r="K45" s="71">
        <v>798952.17</v>
      </c>
      <c r="L45" s="71">
        <v>74413.88</v>
      </c>
      <c r="M45" s="71">
        <v>9449</v>
      </c>
      <c r="N45" s="71">
        <v>92.1</v>
      </c>
      <c r="O45" s="71">
        <v>0</v>
      </c>
      <c r="P45" s="71">
        <v>0</v>
      </c>
      <c r="Q45" s="71">
        <v>1</v>
      </c>
      <c r="R45" s="71">
        <v>0</v>
      </c>
      <c r="S45" s="71">
        <v>1</v>
      </c>
      <c r="T45" s="71">
        <v>0</v>
      </c>
      <c r="U45">
        <v>885435.336158041</v>
      </c>
      <c r="V45">
        <v>124458.74892365</v>
      </c>
    </row>
    <row r="46" customFormat="1" spans="1:22">
      <c r="A46" s="71" t="s">
        <v>32</v>
      </c>
      <c r="B46" s="177">
        <v>45748</v>
      </c>
      <c r="C46" s="71" t="s">
        <v>22</v>
      </c>
      <c r="D46" s="71" t="s">
        <v>18</v>
      </c>
      <c r="E46" s="71">
        <v>0.247</v>
      </c>
      <c r="F46" s="71">
        <v>25</v>
      </c>
      <c r="G46" s="71">
        <v>6.31</v>
      </c>
      <c r="H46" s="71">
        <v>0</v>
      </c>
      <c r="I46" s="71">
        <v>3.6</v>
      </c>
      <c r="J46" s="71">
        <v>149242.27</v>
      </c>
      <c r="K46" s="71">
        <v>800979.78</v>
      </c>
      <c r="L46" s="71">
        <v>52483.77</v>
      </c>
      <c r="M46" s="71">
        <v>10453</v>
      </c>
      <c r="N46" s="71">
        <v>99</v>
      </c>
      <c r="O46" s="71">
        <v>0</v>
      </c>
      <c r="P46" s="71">
        <v>0</v>
      </c>
      <c r="Q46" s="71">
        <v>1</v>
      </c>
      <c r="R46" s="71">
        <v>0</v>
      </c>
      <c r="S46" s="71">
        <v>1</v>
      </c>
      <c r="T46" s="71">
        <v>0</v>
      </c>
      <c r="U46">
        <v>776241.993622487</v>
      </c>
      <c r="V46">
        <v>158913.010803286</v>
      </c>
    </row>
    <row r="47" customFormat="1" spans="1:22">
      <c r="A47" s="71" t="s">
        <v>33</v>
      </c>
      <c r="B47" s="177">
        <v>45658</v>
      </c>
      <c r="C47" s="71" t="s">
        <v>22</v>
      </c>
      <c r="D47" s="71" t="s">
        <v>30</v>
      </c>
      <c r="E47" s="71">
        <v>0.092</v>
      </c>
      <c r="F47" s="71">
        <v>21</v>
      </c>
      <c r="G47" s="71">
        <v>9.56</v>
      </c>
      <c r="H47" s="71">
        <v>1</v>
      </c>
      <c r="I47" s="71">
        <v>4.2</v>
      </c>
      <c r="J47" s="71">
        <v>115860.06</v>
      </c>
      <c r="K47" s="71">
        <v>820593.93</v>
      </c>
      <c r="L47" s="71">
        <v>75269.87</v>
      </c>
      <c r="M47" s="71">
        <v>8838</v>
      </c>
      <c r="N47" s="71">
        <v>83.1</v>
      </c>
      <c r="O47" s="71">
        <v>0</v>
      </c>
      <c r="P47" s="71">
        <v>0</v>
      </c>
      <c r="Q47" s="71">
        <v>1</v>
      </c>
      <c r="R47" s="71">
        <v>0</v>
      </c>
      <c r="S47" s="71">
        <v>1</v>
      </c>
      <c r="T47" s="71">
        <v>0</v>
      </c>
      <c r="U47">
        <v>679568.72729244</v>
      </c>
      <c r="V47">
        <v>-8963.72169987962</v>
      </c>
    </row>
    <row r="48" customFormat="1" spans="1:22">
      <c r="A48" s="71" t="s">
        <v>33</v>
      </c>
      <c r="B48" s="177">
        <v>45689</v>
      </c>
      <c r="C48" s="71" t="s">
        <v>22</v>
      </c>
      <c r="D48" s="71" t="s">
        <v>30</v>
      </c>
      <c r="E48" s="71">
        <v>0.156</v>
      </c>
      <c r="F48" s="71">
        <v>19</v>
      </c>
      <c r="G48" s="71">
        <v>9.05</v>
      </c>
      <c r="H48" s="71">
        <v>0</v>
      </c>
      <c r="I48" s="71">
        <v>3.8</v>
      </c>
      <c r="J48" s="71">
        <v>93247.9</v>
      </c>
      <c r="K48" s="71">
        <v>718330.53</v>
      </c>
      <c r="L48" s="71">
        <v>61245.41</v>
      </c>
      <c r="M48" s="71">
        <v>8156</v>
      </c>
      <c r="N48" s="71">
        <v>92.9</v>
      </c>
      <c r="O48" s="71">
        <v>0</v>
      </c>
      <c r="P48" s="71">
        <v>0</v>
      </c>
      <c r="Q48" s="71">
        <v>0</v>
      </c>
      <c r="R48" s="71">
        <v>0</v>
      </c>
      <c r="S48" s="71">
        <v>0</v>
      </c>
      <c r="T48" s="71">
        <v>1</v>
      </c>
      <c r="U48">
        <v>591278.933009652</v>
      </c>
      <c r="V48">
        <v>-114366.516476953</v>
      </c>
    </row>
    <row r="49" customFormat="1" spans="1:22">
      <c r="A49" s="71" t="s">
        <v>33</v>
      </c>
      <c r="B49" s="177">
        <v>45717</v>
      </c>
      <c r="C49" s="71" t="s">
        <v>22</v>
      </c>
      <c r="D49" s="71" t="s">
        <v>30</v>
      </c>
      <c r="E49" s="71">
        <v>0.198</v>
      </c>
      <c r="F49" s="71">
        <v>19</v>
      </c>
      <c r="G49" s="71">
        <v>5.05</v>
      </c>
      <c r="H49" s="71">
        <v>0</v>
      </c>
      <c r="I49" s="71">
        <v>4</v>
      </c>
      <c r="J49" s="71">
        <v>115654.66</v>
      </c>
      <c r="K49" s="71">
        <v>736633.4</v>
      </c>
      <c r="L49" s="71">
        <v>93381.26</v>
      </c>
      <c r="M49" s="71">
        <v>7562</v>
      </c>
      <c r="N49" s="71">
        <v>82.9</v>
      </c>
      <c r="O49" s="71">
        <v>0</v>
      </c>
      <c r="P49" s="71">
        <v>0</v>
      </c>
      <c r="Q49" s="71">
        <v>0</v>
      </c>
      <c r="R49" s="71">
        <v>0</v>
      </c>
      <c r="S49" s="71">
        <v>0</v>
      </c>
      <c r="T49" s="71">
        <v>1</v>
      </c>
      <c r="U49">
        <v>526238.923813987</v>
      </c>
      <c r="V49">
        <v>3886.62898431264</v>
      </c>
    </row>
    <row r="50" customFormat="1" spans="1:22">
      <c r="A50" s="71" t="s">
        <v>33</v>
      </c>
      <c r="B50" s="177">
        <v>45748</v>
      </c>
      <c r="C50" s="71" t="s">
        <v>22</v>
      </c>
      <c r="D50" s="71" t="s">
        <v>30</v>
      </c>
      <c r="E50" s="71">
        <v>0.085</v>
      </c>
      <c r="F50" s="71">
        <v>24</v>
      </c>
      <c r="G50" s="71">
        <v>0.89</v>
      </c>
      <c r="H50" s="71">
        <v>0</v>
      </c>
      <c r="I50" s="71">
        <v>3.8</v>
      </c>
      <c r="J50" s="71">
        <v>167320.52</v>
      </c>
      <c r="K50" s="71">
        <v>828623.85</v>
      </c>
      <c r="L50" s="71">
        <v>65012.19</v>
      </c>
      <c r="M50" s="71">
        <v>9598</v>
      </c>
      <c r="N50" s="71">
        <v>98.3</v>
      </c>
      <c r="O50" s="71">
        <v>0</v>
      </c>
      <c r="P50" s="71">
        <v>0</v>
      </c>
      <c r="Q50" s="71">
        <v>0</v>
      </c>
      <c r="R50" s="71">
        <v>0</v>
      </c>
      <c r="S50" s="71">
        <v>0</v>
      </c>
      <c r="T50" s="71">
        <v>1</v>
      </c>
      <c r="U50">
        <v>507641.678365326</v>
      </c>
      <c r="V50">
        <v>23683.7884925697</v>
      </c>
    </row>
    <row r="51" customFormat="1" spans="1:22">
      <c r="A51" s="71" t="s">
        <v>34</v>
      </c>
      <c r="B51" s="177">
        <v>45658</v>
      </c>
      <c r="C51" s="71" t="s">
        <v>17</v>
      </c>
      <c r="D51" s="71" t="s">
        <v>30</v>
      </c>
      <c r="E51" s="71">
        <v>0.218</v>
      </c>
      <c r="F51" s="71">
        <v>11</v>
      </c>
      <c r="G51" s="71">
        <v>5.57</v>
      </c>
      <c r="H51" s="71">
        <v>0</v>
      </c>
      <c r="I51" s="71">
        <v>4.4</v>
      </c>
      <c r="J51" s="71">
        <v>92291.56</v>
      </c>
      <c r="K51" s="71">
        <v>592195.85</v>
      </c>
      <c r="L51" s="71">
        <v>40462.94</v>
      </c>
      <c r="M51" s="71">
        <v>3660</v>
      </c>
      <c r="N51" s="71">
        <v>95.2</v>
      </c>
      <c r="O51" s="71">
        <v>0</v>
      </c>
      <c r="P51" s="71">
        <v>0</v>
      </c>
      <c r="Q51" s="71">
        <v>0</v>
      </c>
      <c r="R51" s="71">
        <v>0</v>
      </c>
      <c r="S51" s="71">
        <v>0</v>
      </c>
      <c r="T51" s="71">
        <v>1</v>
      </c>
      <c r="U51">
        <v>493189.144047704</v>
      </c>
      <c r="V51">
        <v>-81807.6774785883</v>
      </c>
    </row>
    <row r="52" customFormat="1" spans="1:22">
      <c r="A52" s="71" t="s">
        <v>34</v>
      </c>
      <c r="B52" s="177">
        <v>45689</v>
      </c>
      <c r="C52" s="71" t="s">
        <v>17</v>
      </c>
      <c r="D52" s="71" t="s">
        <v>30</v>
      </c>
      <c r="E52" s="71">
        <v>0.143</v>
      </c>
      <c r="F52" s="71">
        <v>10</v>
      </c>
      <c r="G52" s="71">
        <v>1.06</v>
      </c>
      <c r="H52" s="71">
        <v>0</v>
      </c>
      <c r="I52" s="71">
        <v>4.4</v>
      </c>
      <c r="J52" s="71">
        <v>60681.32</v>
      </c>
      <c r="K52" s="71">
        <v>532644.46</v>
      </c>
      <c r="L52" s="71">
        <v>46123.88</v>
      </c>
      <c r="M52" s="71">
        <v>3227</v>
      </c>
      <c r="N52" s="71">
        <v>75.4</v>
      </c>
      <c r="O52" s="71">
        <v>1</v>
      </c>
      <c r="P52" s="71">
        <v>0</v>
      </c>
      <c r="Q52" s="71">
        <v>0</v>
      </c>
      <c r="R52" s="71">
        <v>0</v>
      </c>
      <c r="S52" s="71">
        <v>0</v>
      </c>
      <c r="T52" s="71">
        <v>1</v>
      </c>
      <c r="U52">
        <v>741946.006325298</v>
      </c>
      <c r="V52">
        <v>104138.618209959</v>
      </c>
    </row>
    <row r="53" customFormat="1" spans="1:22">
      <c r="A53" s="71" t="s">
        <v>34</v>
      </c>
      <c r="B53" s="177">
        <v>45717</v>
      </c>
      <c r="C53" s="71" t="s">
        <v>17</v>
      </c>
      <c r="D53" s="71" t="s">
        <v>30</v>
      </c>
      <c r="E53" s="71">
        <v>0.128</v>
      </c>
      <c r="F53" s="71">
        <v>14</v>
      </c>
      <c r="G53" s="71">
        <v>1.24</v>
      </c>
      <c r="H53" s="71">
        <v>1</v>
      </c>
      <c r="I53" s="71">
        <v>4</v>
      </c>
      <c r="J53" s="71">
        <v>88919.74</v>
      </c>
      <c r="K53" s="71">
        <v>657429.18</v>
      </c>
      <c r="L53" s="71">
        <v>68077.54</v>
      </c>
      <c r="M53" s="71">
        <v>3360</v>
      </c>
      <c r="N53" s="71">
        <v>88.2</v>
      </c>
      <c r="O53" s="71">
        <v>1</v>
      </c>
      <c r="P53" s="71">
        <v>0</v>
      </c>
      <c r="Q53" s="71">
        <v>0</v>
      </c>
      <c r="R53" s="71">
        <v>0</v>
      </c>
      <c r="S53" s="71">
        <v>0</v>
      </c>
      <c r="T53" s="71">
        <v>1</v>
      </c>
      <c r="U53">
        <v>885051.949083544</v>
      </c>
      <c r="V53">
        <v>1437.72519961116</v>
      </c>
    </row>
    <row r="54" customFormat="1" spans="1:22">
      <c r="A54" s="71" t="s">
        <v>34</v>
      </c>
      <c r="B54" s="177">
        <v>45748</v>
      </c>
      <c r="C54" s="71" t="s">
        <v>17</v>
      </c>
      <c r="D54" s="71" t="s">
        <v>30</v>
      </c>
      <c r="E54" s="71">
        <v>0.019</v>
      </c>
      <c r="F54" s="71">
        <v>13</v>
      </c>
      <c r="G54" s="71">
        <v>4.52</v>
      </c>
      <c r="H54" s="71">
        <v>0</v>
      </c>
      <c r="I54" s="71">
        <v>4.2</v>
      </c>
      <c r="J54" s="71">
        <v>106958.74</v>
      </c>
      <c r="K54" s="71">
        <v>605178</v>
      </c>
      <c r="L54" s="71">
        <v>64882.14</v>
      </c>
      <c r="M54" s="71">
        <v>3642</v>
      </c>
      <c r="N54" s="71">
        <v>87.8</v>
      </c>
      <c r="O54" s="71">
        <v>1</v>
      </c>
      <c r="P54" s="71">
        <v>0</v>
      </c>
      <c r="Q54" s="71">
        <v>0</v>
      </c>
      <c r="R54" s="71">
        <v>0</v>
      </c>
      <c r="S54" s="71">
        <v>0</v>
      </c>
      <c r="T54" s="71">
        <v>1</v>
      </c>
      <c r="U54">
        <v>831679.102157075</v>
      </c>
      <c r="V54">
        <v>-86483.1661580415</v>
      </c>
    </row>
    <row r="55" customFormat="1" spans="1:22">
      <c r="A55" s="71" t="s">
        <v>35</v>
      </c>
      <c r="B55" s="177">
        <v>45658</v>
      </c>
      <c r="C55" s="71" t="s">
        <v>29</v>
      </c>
      <c r="D55" s="71" t="s">
        <v>18</v>
      </c>
      <c r="E55" s="71">
        <v>0.06</v>
      </c>
      <c r="F55" s="71">
        <v>17</v>
      </c>
      <c r="G55" s="71">
        <v>9.58</v>
      </c>
      <c r="H55" s="71">
        <v>0</v>
      </c>
      <c r="I55" s="71">
        <v>3.2</v>
      </c>
      <c r="J55" s="71">
        <v>104276.46</v>
      </c>
      <c r="K55" s="71">
        <v>595467.6</v>
      </c>
      <c r="L55" s="71">
        <v>138855.51</v>
      </c>
      <c r="M55" s="71">
        <v>5145</v>
      </c>
      <c r="N55" s="71">
        <v>88.2</v>
      </c>
      <c r="O55" s="71">
        <v>1</v>
      </c>
      <c r="P55" s="71">
        <v>0</v>
      </c>
      <c r="Q55" s="71">
        <v>0</v>
      </c>
      <c r="R55" s="71">
        <v>0</v>
      </c>
      <c r="S55" s="71">
        <v>0</v>
      </c>
      <c r="T55" s="71">
        <v>1</v>
      </c>
      <c r="U55">
        <v>860046.30113371</v>
      </c>
      <c r="V55">
        <v>24737.7863775134</v>
      </c>
    </row>
    <row r="56" customFormat="1" spans="1:22">
      <c r="A56" s="71" t="s">
        <v>35</v>
      </c>
      <c r="B56" s="177">
        <v>45689</v>
      </c>
      <c r="C56" s="71" t="s">
        <v>29</v>
      </c>
      <c r="D56" s="71" t="s">
        <v>18</v>
      </c>
      <c r="E56" s="71">
        <v>0.235</v>
      </c>
      <c r="F56" s="71">
        <v>14</v>
      </c>
      <c r="G56" s="71">
        <v>5.52</v>
      </c>
      <c r="H56" s="71">
        <v>0</v>
      </c>
      <c r="I56" s="71">
        <v>3.5</v>
      </c>
      <c r="J56" s="71">
        <v>112685.12</v>
      </c>
      <c r="K56" s="71">
        <v>599603.4</v>
      </c>
      <c r="L56" s="71">
        <v>63630.21</v>
      </c>
      <c r="M56" s="71">
        <v>4460</v>
      </c>
      <c r="N56" s="71">
        <v>98.6</v>
      </c>
      <c r="O56" s="71">
        <v>1</v>
      </c>
      <c r="P56" s="71">
        <v>0</v>
      </c>
      <c r="Q56" s="71">
        <v>0</v>
      </c>
      <c r="R56" s="71">
        <v>0</v>
      </c>
      <c r="S56" s="71">
        <v>1</v>
      </c>
      <c r="T56" s="71">
        <v>0</v>
      </c>
      <c r="U56">
        <v>785356.543162636</v>
      </c>
      <c r="V56">
        <v>141025.20270756</v>
      </c>
    </row>
    <row r="57" customFormat="1" spans="1:22">
      <c r="A57" s="71" t="s">
        <v>35</v>
      </c>
      <c r="B57" s="177">
        <v>45717</v>
      </c>
      <c r="C57" s="71" t="s">
        <v>29</v>
      </c>
      <c r="D57" s="71" t="s">
        <v>18</v>
      </c>
      <c r="E57" s="71">
        <v>0.113</v>
      </c>
      <c r="F57" s="71">
        <v>11</v>
      </c>
      <c r="G57" s="71">
        <v>2.7</v>
      </c>
      <c r="H57" s="71">
        <v>1</v>
      </c>
      <c r="I57" s="71">
        <v>3.2</v>
      </c>
      <c r="J57" s="71">
        <v>100044.2</v>
      </c>
      <c r="K57" s="71">
        <v>614800.09</v>
      </c>
      <c r="L57" s="71">
        <v>50043.65</v>
      </c>
      <c r="M57" s="71">
        <v>3804</v>
      </c>
      <c r="N57" s="71">
        <v>90.9</v>
      </c>
      <c r="O57" s="71">
        <v>1</v>
      </c>
      <c r="P57" s="71">
        <v>0</v>
      </c>
      <c r="Q57" s="71">
        <v>0</v>
      </c>
      <c r="R57" s="71">
        <v>0</v>
      </c>
      <c r="S57" s="71">
        <v>1</v>
      </c>
      <c r="T57" s="71">
        <v>0</v>
      </c>
      <c r="U57">
        <v>726811.835932777</v>
      </c>
      <c r="V57">
        <v>127051.596990348</v>
      </c>
    </row>
    <row r="58" customFormat="1" spans="1:22">
      <c r="A58" s="71" t="s">
        <v>35</v>
      </c>
      <c r="B58" s="177">
        <v>45748</v>
      </c>
      <c r="C58" s="71" t="s">
        <v>29</v>
      </c>
      <c r="D58" s="71" t="s">
        <v>18</v>
      </c>
      <c r="E58" s="71">
        <v>0.155</v>
      </c>
      <c r="F58" s="71">
        <v>15</v>
      </c>
      <c r="G58" s="71">
        <v>9.64</v>
      </c>
      <c r="H58" s="71">
        <v>0</v>
      </c>
      <c r="I58" s="71">
        <v>3.3</v>
      </c>
      <c r="J58" s="71">
        <v>81011.52</v>
      </c>
      <c r="K58" s="71">
        <v>585365.73</v>
      </c>
      <c r="L58" s="71">
        <v>42093.84</v>
      </c>
      <c r="M58" s="71">
        <v>4074</v>
      </c>
      <c r="N58" s="71">
        <v>88</v>
      </c>
      <c r="O58" s="71">
        <v>1</v>
      </c>
      <c r="P58" s="71">
        <v>0</v>
      </c>
      <c r="Q58" s="71">
        <v>0</v>
      </c>
      <c r="R58" s="71">
        <v>0</v>
      </c>
      <c r="S58" s="71">
        <v>1</v>
      </c>
      <c r="T58" s="71">
        <v>0</v>
      </c>
      <c r="U58">
        <v>715275.293574603</v>
      </c>
      <c r="V58">
        <v>210394.476186013</v>
      </c>
    </row>
    <row r="59" customFormat="1" spans="1:22">
      <c r="A59" s="71" t="s">
        <v>36</v>
      </c>
      <c r="B59" s="177">
        <v>45658</v>
      </c>
      <c r="C59" s="71" t="s">
        <v>22</v>
      </c>
      <c r="D59" s="71" t="s">
        <v>30</v>
      </c>
      <c r="E59" s="71">
        <v>0.109</v>
      </c>
      <c r="F59" s="71">
        <v>11</v>
      </c>
      <c r="G59" s="71">
        <v>3.49</v>
      </c>
      <c r="H59" s="71">
        <v>1</v>
      </c>
      <c r="I59" s="71">
        <v>4.7</v>
      </c>
      <c r="J59" s="71">
        <v>109978.35</v>
      </c>
      <c r="K59" s="71">
        <v>622811.74</v>
      </c>
      <c r="L59" s="71">
        <v>46624.05</v>
      </c>
      <c r="M59" s="71">
        <v>5104</v>
      </c>
      <c r="N59" s="71">
        <v>97.3</v>
      </c>
      <c r="O59" s="71">
        <v>1</v>
      </c>
      <c r="P59" s="71">
        <v>0</v>
      </c>
      <c r="Q59" s="71">
        <v>0</v>
      </c>
      <c r="R59" s="71">
        <v>0</v>
      </c>
      <c r="S59" s="71">
        <v>1</v>
      </c>
      <c r="T59" s="71">
        <v>0</v>
      </c>
      <c r="U59">
        <v>796104.830658391</v>
      </c>
      <c r="V59">
        <v>320982.171634674</v>
      </c>
    </row>
    <row r="60" customFormat="1" spans="1:22">
      <c r="A60" s="71" t="s">
        <v>36</v>
      </c>
      <c r="B60" s="177">
        <v>45689</v>
      </c>
      <c r="C60" s="71" t="s">
        <v>22</v>
      </c>
      <c r="D60" s="71" t="s">
        <v>30</v>
      </c>
      <c r="E60" s="71">
        <v>0.218</v>
      </c>
      <c r="F60" s="71">
        <v>14</v>
      </c>
      <c r="G60" s="71">
        <v>9.11</v>
      </c>
      <c r="H60" s="71">
        <v>0</v>
      </c>
      <c r="I60" s="71">
        <v>4.6</v>
      </c>
      <c r="J60" s="71">
        <v>60592.26</v>
      </c>
      <c r="K60" s="71">
        <v>603297.57</v>
      </c>
      <c r="L60" s="71">
        <v>49710.29</v>
      </c>
      <c r="M60" s="71">
        <v>5559</v>
      </c>
      <c r="N60" s="71">
        <v>71</v>
      </c>
      <c r="O60" s="71">
        <v>0</v>
      </c>
      <c r="P60" s="71">
        <v>0</v>
      </c>
      <c r="Q60" s="71">
        <v>0</v>
      </c>
      <c r="R60" s="71">
        <v>0</v>
      </c>
      <c r="S60" s="71">
        <v>1</v>
      </c>
      <c r="T60" s="71">
        <v>0</v>
      </c>
      <c r="U60">
        <v>556692.025891288</v>
      </c>
      <c r="V60">
        <v>99006.7059522957</v>
      </c>
    </row>
    <row r="61" customFormat="1" spans="1:22">
      <c r="A61" s="71" t="s">
        <v>36</v>
      </c>
      <c r="B61" s="177">
        <v>45717</v>
      </c>
      <c r="C61" s="71" t="s">
        <v>22</v>
      </c>
      <c r="D61" s="71" t="s">
        <v>30</v>
      </c>
      <c r="E61" s="71">
        <v>0.008</v>
      </c>
      <c r="F61" s="71">
        <v>12</v>
      </c>
      <c r="G61" s="71">
        <v>7.4</v>
      </c>
      <c r="H61" s="71">
        <v>0</v>
      </c>
      <c r="I61" s="71">
        <v>4.5</v>
      </c>
      <c r="J61" s="71">
        <v>118020.12</v>
      </c>
      <c r="K61" s="71">
        <v>625672.86</v>
      </c>
      <c r="L61" s="71">
        <v>48287.85</v>
      </c>
      <c r="M61" s="71">
        <v>5150</v>
      </c>
      <c r="N61" s="71">
        <v>80.4</v>
      </c>
      <c r="O61" s="71">
        <v>0</v>
      </c>
      <c r="P61" s="71">
        <v>0</v>
      </c>
      <c r="Q61" s="71">
        <v>0</v>
      </c>
      <c r="R61" s="71">
        <v>0</v>
      </c>
      <c r="S61" s="71">
        <v>1</v>
      </c>
      <c r="T61" s="71">
        <v>0</v>
      </c>
      <c r="U61">
        <v>498483.322475245</v>
      </c>
      <c r="V61">
        <v>-209301.546325298</v>
      </c>
    </row>
    <row r="62" customFormat="1" spans="1:22">
      <c r="A62" s="71" t="s">
        <v>36</v>
      </c>
      <c r="B62" s="177">
        <v>45748</v>
      </c>
      <c r="C62" s="71" t="s">
        <v>22</v>
      </c>
      <c r="D62" s="71" t="s">
        <v>30</v>
      </c>
      <c r="E62" s="71">
        <v>0.05</v>
      </c>
      <c r="F62" s="71">
        <v>19</v>
      </c>
      <c r="G62" s="71">
        <v>7.16</v>
      </c>
      <c r="H62" s="71">
        <v>0</v>
      </c>
      <c r="I62" s="71">
        <v>4.6</v>
      </c>
      <c r="J62" s="71">
        <v>133948.39</v>
      </c>
      <c r="K62" s="71">
        <v>773815.14</v>
      </c>
      <c r="L62" s="71">
        <v>65312.49</v>
      </c>
      <c r="M62" s="71">
        <v>7189</v>
      </c>
      <c r="N62" s="71">
        <v>93.7</v>
      </c>
      <c r="O62" s="71">
        <v>0</v>
      </c>
      <c r="P62" s="71">
        <v>0</v>
      </c>
      <c r="Q62" s="71">
        <v>0</v>
      </c>
      <c r="R62" s="71">
        <v>0</v>
      </c>
      <c r="S62" s="71">
        <v>1</v>
      </c>
      <c r="T62" s="71">
        <v>0</v>
      </c>
      <c r="U62">
        <v>566979.748367431</v>
      </c>
      <c r="V62">
        <v>-227622.769083544</v>
      </c>
    </row>
    <row r="63" customFormat="1" spans="1:22">
      <c r="A63" s="71" t="s">
        <v>37</v>
      </c>
      <c r="B63" s="177">
        <v>45658</v>
      </c>
      <c r="C63" s="71" t="s">
        <v>29</v>
      </c>
      <c r="D63" s="71" t="s">
        <v>20</v>
      </c>
      <c r="E63" s="71">
        <v>0.087</v>
      </c>
      <c r="F63" s="71">
        <v>9</v>
      </c>
      <c r="G63" s="71">
        <v>22.02</v>
      </c>
      <c r="H63" s="71">
        <v>0</v>
      </c>
      <c r="I63" s="71">
        <v>3.9</v>
      </c>
      <c r="J63" s="71">
        <v>81834.54</v>
      </c>
      <c r="K63" s="71">
        <v>463534.25</v>
      </c>
      <c r="L63" s="71">
        <v>53015.46</v>
      </c>
      <c r="M63" s="71">
        <v>3279</v>
      </c>
      <c r="N63" s="71">
        <v>84.3</v>
      </c>
      <c r="O63" s="71">
        <v>0</v>
      </c>
      <c r="P63" s="71">
        <v>0</v>
      </c>
      <c r="Q63" s="71">
        <v>0</v>
      </c>
      <c r="R63" s="71">
        <v>0</v>
      </c>
      <c r="S63" s="71">
        <v>1</v>
      </c>
      <c r="T63" s="71">
        <v>0</v>
      </c>
      <c r="U63">
        <v>571546.428348704</v>
      </c>
      <c r="V63">
        <v>-226501.102157075</v>
      </c>
    </row>
    <row r="64" customFormat="1" spans="1:22">
      <c r="A64" s="71" t="s">
        <v>37</v>
      </c>
      <c r="B64" s="177">
        <v>45689</v>
      </c>
      <c r="C64" s="71" t="s">
        <v>29</v>
      </c>
      <c r="D64" s="71" t="s">
        <v>20</v>
      </c>
      <c r="E64" s="71">
        <v>0.262</v>
      </c>
      <c r="F64" s="71">
        <v>14</v>
      </c>
      <c r="G64" s="71">
        <v>6.18</v>
      </c>
      <c r="H64" s="71">
        <v>0</v>
      </c>
      <c r="I64" s="71">
        <v>4.7</v>
      </c>
      <c r="J64" s="71">
        <v>122437.84</v>
      </c>
      <c r="K64" s="71">
        <v>746677.75</v>
      </c>
      <c r="L64" s="71">
        <v>99874.01</v>
      </c>
      <c r="M64" s="71">
        <v>5887</v>
      </c>
      <c r="N64" s="71">
        <v>88.7</v>
      </c>
      <c r="O64" s="71">
        <v>0</v>
      </c>
      <c r="P64" s="71">
        <v>0</v>
      </c>
      <c r="Q64" s="71">
        <v>1</v>
      </c>
      <c r="R64" s="71">
        <v>0</v>
      </c>
      <c r="S64" s="71">
        <v>0</v>
      </c>
      <c r="T64" s="71">
        <v>1</v>
      </c>
      <c r="U64">
        <v>711529.078153582</v>
      </c>
      <c r="V64">
        <v>-264578.70113371</v>
      </c>
    </row>
    <row r="65" customFormat="1" spans="1:22">
      <c r="A65" s="71" t="s">
        <v>37</v>
      </c>
      <c r="B65" s="177">
        <v>45717</v>
      </c>
      <c r="C65" s="71" t="s">
        <v>29</v>
      </c>
      <c r="D65" s="71" t="s">
        <v>20</v>
      </c>
      <c r="E65" s="71">
        <v>0.106</v>
      </c>
      <c r="F65" s="71">
        <v>14</v>
      </c>
      <c r="G65" s="71">
        <v>1.76</v>
      </c>
      <c r="H65" s="71">
        <v>0</v>
      </c>
      <c r="I65" s="71">
        <v>4.3</v>
      </c>
      <c r="J65" s="71">
        <v>98565.62</v>
      </c>
      <c r="K65" s="71">
        <v>720852.5</v>
      </c>
      <c r="L65" s="71">
        <v>81195.5</v>
      </c>
      <c r="M65" s="71">
        <v>5516</v>
      </c>
      <c r="N65" s="71">
        <v>88</v>
      </c>
      <c r="O65" s="71">
        <v>0</v>
      </c>
      <c r="P65" s="71">
        <v>0</v>
      </c>
      <c r="Q65" s="71">
        <v>1</v>
      </c>
      <c r="R65" s="71">
        <v>0</v>
      </c>
      <c r="S65" s="71">
        <v>0</v>
      </c>
      <c r="T65" s="71">
        <v>1</v>
      </c>
      <c r="U65">
        <v>658609.608385821</v>
      </c>
      <c r="V65">
        <v>-185753.143162636</v>
      </c>
    </row>
    <row r="66" customFormat="1" spans="1:22">
      <c r="A66" s="71" t="s">
        <v>37</v>
      </c>
      <c r="B66" s="177">
        <v>45748</v>
      </c>
      <c r="C66" s="71" t="s">
        <v>29</v>
      </c>
      <c r="D66" s="71" t="s">
        <v>20</v>
      </c>
      <c r="E66" s="71">
        <v>0.08</v>
      </c>
      <c r="F66" s="71">
        <v>13</v>
      </c>
      <c r="G66" s="71">
        <v>0.47</v>
      </c>
      <c r="H66" s="71">
        <v>0</v>
      </c>
      <c r="I66" s="71">
        <v>4.1</v>
      </c>
      <c r="J66" s="71">
        <v>64562.26</v>
      </c>
      <c r="K66" s="71">
        <v>487464.91</v>
      </c>
      <c r="L66" s="71">
        <v>27808.6</v>
      </c>
      <c r="M66" s="71">
        <v>2863</v>
      </c>
      <c r="N66" s="71">
        <v>89.3</v>
      </c>
      <c r="O66" s="71">
        <v>0</v>
      </c>
      <c r="P66" s="71">
        <v>0</v>
      </c>
      <c r="Q66" s="71">
        <v>1</v>
      </c>
      <c r="R66" s="71">
        <v>0</v>
      </c>
      <c r="S66" s="71">
        <v>0</v>
      </c>
      <c r="T66" s="71">
        <v>1</v>
      </c>
      <c r="U66">
        <v>597450.090465896</v>
      </c>
      <c r="V66">
        <v>-112011.745932777</v>
      </c>
    </row>
    <row r="67" customFormat="1" spans="1:22">
      <c r="A67" s="71" t="s">
        <v>38</v>
      </c>
      <c r="B67" s="177">
        <v>45658</v>
      </c>
      <c r="C67" s="71" t="s">
        <v>17</v>
      </c>
      <c r="D67" s="71" t="s">
        <v>23</v>
      </c>
      <c r="E67" s="71">
        <v>0</v>
      </c>
      <c r="F67" s="71">
        <v>12</v>
      </c>
      <c r="G67" s="71">
        <v>0.2</v>
      </c>
      <c r="H67" s="71">
        <v>0</v>
      </c>
      <c r="I67" s="71">
        <v>3.5</v>
      </c>
      <c r="J67" s="71">
        <v>108592.49</v>
      </c>
      <c r="K67" s="71">
        <v>518049.26</v>
      </c>
      <c r="L67" s="71">
        <v>19365.06</v>
      </c>
      <c r="M67" s="71">
        <v>2378</v>
      </c>
      <c r="N67" s="71">
        <v>94.8</v>
      </c>
      <c r="O67" s="71">
        <v>0</v>
      </c>
      <c r="P67" s="71">
        <v>0</v>
      </c>
      <c r="Q67" s="71">
        <v>1</v>
      </c>
      <c r="R67" s="71">
        <v>0</v>
      </c>
      <c r="S67" s="71">
        <v>0</v>
      </c>
      <c r="T67" s="71">
        <v>1</v>
      </c>
      <c r="U67">
        <v>588557.335132057</v>
      </c>
      <c r="V67">
        <v>-129909.563574603</v>
      </c>
    </row>
    <row r="68" customFormat="1" spans="1:22">
      <c r="A68" s="71" t="s">
        <v>38</v>
      </c>
      <c r="B68" s="177">
        <v>45689</v>
      </c>
      <c r="C68" s="71" t="s">
        <v>17</v>
      </c>
      <c r="D68" s="71" t="s">
        <v>23</v>
      </c>
      <c r="E68" s="71">
        <v>0.039</v>
      </c>
      <c r="F68" s="71">
        <v>12</v>
      </c>
      <c r="G68" s="71">
        <v>5.11</v>
      </c>
      <c r="H68" s="71">
        <v>0</v>
      </c>
      <c r="I68" s="71">
        <v>3.7</v>
      </c>
      <c r="J68" s="71">
        <v>73461.32</v>
      </c>
      <c r="K68" s="71">
        <v>500298.48</v>
      </c>
      <c r="L68" s="71">
        <v>59405.68</v>
      </c>
      <c r="M68" s="71">
        <v>2515</v>
      </c>
      <c r="N68" s="71">
        <v>76</v>
      </c>
      <c r="O68" s="71">
        <v>1</v>
      </c>
      <c r="P68" s="71">
        <v>0</v>
      </c>
      <c r="Q68" s="71">
        <v>0</v>
      </c>
      <c r="R68" s="71">
        <v>0</v>
      </c>
      <c r="S68" s="71">
        <v>1</v>
      </c>
      <c r="T68" s="71">
        <v>0</v>
      </c>
      <c r="U68">
        <v>656356.270559378</v>
      </c>
      <c r="V68">
        <v>-173293.090658391</v>
      </c>
    </row>
    <row r="69" customFormat="1" spans="1:22">
      <c r="A69" s="71" t="s">
        <v>38</v>
      </c>
      <c r="B69" s="177">
        <v>45717</v>
      </c>
      <c r="C69" s="71" t="s">
        <v>17</v>
      </c>
      <c r="D69" s="71" t="s">
        <v>23</v>
      </c>
      <c r="E69" s="71">
        <v>0.137</v>
      </c>
      <c r="F69" s="71">
        <v>11</v>
      </c>
      <c r="G69" s="71">
        <v>0.2</v>
      </c>
      <c r="H69" s="71">
        <v>0</v>
      </c>
      <c r="I69" s="71">
        <v>3.1</v>
      </c>
      <c r="J69" s="71">
        <v>117782</v>
      </c>
      <c r="K69" s="71">
        <v>617291.15</v>
      </c>
      <c r="L69" s="71">
        <v>118910.48</v>
      </c>
      <c r="M69" s="71">
        <v>4022</v>
      </c>
      <c r="N69" s="71">
        <v>87.1</v>
      </c>
      <c r="O69" s="71">
        <v>1</v>
      </c>
      <c r="P69" s="71">
        <v>0</v>
      </c>
      <c r="Q69" s="71">
        <v>0</v>
      </c>
      <c r="R69" s="71">
        <v>0</v>
      </c>
      <c r="S69" s="71">
        <v>1</v>
      </c>
      <c r="T69" s="71">
        <v>0</v>
      </c>
      <c r="U69">
        <v>589190.094016317</v>
      </c>
      <c r="V69">
        <v>46605.5441087122</v>
      </c>
    </row>
    <row r="70" customFormat="1" spans="1:22">
      <c r="A70" s="71" t="s">
        <v>38</v>
      </c>
      <c r="B70" s="177">
        <v>45748</v>
      </c>
      <c r="C70" s="71" t="s">
        <v>17</v>
      </c>
      <c r="D70" s="71" t="s">
        <v>23</v>
      </c>
      <c r="E70" s="71">
        <v>0.092</v>
      </c>
      <c r="F70" s="71">
        <v>14</v>
      </c>
      <c r="G70" s="71">
        <v>13.59</v>
      </c>
      <c r="H70" s="71">
        <v>0</v>
      </c>
      <c r="I70" s="71">
        <v>3.1</v>
      </c>
      <c r="J70" s="71">
        <v>86166.77</v>
      </c>
      <c r="K70" s="71">
        <v>553756.43</v>
      </c>
      <c r="L70" s="71">
        <v>52952.12</v>
      </c>
      <c r="M70" s="71">
        <v>4377</v>
      </c>
      <c r="N70" s="71">
        <v>88.6</v>
      </c>
      <c r="O70" s="71">
        <v>1</v>
      </c>
      <c r="P70" s="71">
        <v>0</v>
      </c>
      <c r="Q70" s="71">
        <v>0</v>
      </c>
      <c r="R70" s="71">
        <v>0</v>
      </c>
      <c r="S70" s="71">
        <v>1</v>
      </c>
      <c r="T70" s="71">
        <v>0</v>
      </c>
      <c r="U70">
        <v>601487.006706747</v>
      </c>
      <c r="V70">
        <v>127189.537524755</v>
      </c>
    </row>
    <row r="71" customFormat="1" spans="1:22">
      <c r="A71" s="71" t="s">
        <v>39</v>
      </c>
      <c r="B71" s="177">
        <v>45658</v>
      </c>
      <c r="C71" s="71" t="s">
        <v>26</v>
      </c>
      <c r="D71" s="71" t="s">
        <v>20</v>
      </c>
      <c r="E71" s="71">
        <v>0.062</v>
      </c>
      <c r="F71" s="71">
        <v>16</v>
      </c>
      <c r="G71" s="71">
        <v>1.02</v>
      </c>
      <c r="H71" s="71">
        <v>0</v>
      </c>
      <c r="I71" s="71">
        <v>3.7</v>
      </c>
      <c r="J71" s="71">
        <v>144522.53</v>
      </c>
      <c r="K71" s="71">
        <v>749559.71</v>
      </c>
      <c r="L71" s="71">
        <v>74907.98</v>
      </c>
      <c r="M71" s="71">
        <v>5306</v>
      </c>
      <c r="N71" s="71">
        <v>95.6</v>
      </c>
      <c r="O71" s="71">
        <v>1</v>
      </c>
      <c r="P71" s="71">
        <v>0</v>
      </c>
      <c r="Q71" s="71">
        <v>0</v>
      </c>
      <c r="R71" s="71">
        <v>0</v>
      </c>
      <c r="S71" s="71">
        <v>1</v>
      </c>
      <c r="T71" s="71">
        <v>0</v>
      </c>
      <c r="U71">
        <v>730143.431258218</v>
      </c>
      <c r="V71">
        <v>206835.391632569</v>
      </c>
    </row>
    <row r="72" customFormat="1" spans="1:22">
      <c r="A72" s="71" t="s">
        <v>39</v>
      </c>
      <c r="B72" s="177">
        <v>45689</v>
      </c>
      <c r="C72" s="71" t="s">
        <v>26</v>
      </c>
      <c r="D72" s="71" t="s">
        <v>20</v>
      </c>
      <c r="E72" s="71">
        <v>0.074</v>
      </c>
      <c r="F72" s="71">
        <v>12</v>
      </c>
      <c r="G72" s="71">
        <v>1.64</v>
      </c>
      <c r="H72" s="71">
        <v>0</v>
      </c>
      <c r="I72" s="71">
        <v>3.8</v>
      </c>
      <c r="J72" s="71">
        <v>91509.38</v>
      </c>
      <c r="K72" s="71">
        <v>615966.48</v>
      </c>
      <c r="L72" s="71">
        <v>37284.66</v>
      </c>
      <c r="M72" s="71">
        <v>3928</v>
      </c>
      <c r="N72" s="71">
        <v>86.5</v>
      </c>
      <c r="O72" s="71">
        <v>0</v>
      </c>
      <c r="P72" s="71">
        <v>0</v>
      </c>
      <c r="Q72" s="71">
        <v>1</v>
      </c>
      <c r="R72" s="71">
        <v>1</v>
      </c>
      <c r="S72" s="71">
        <v>0</v>
      </c>
      <c r="T72" s="71">
        <v>0</v>
      </c>
      <c r="U72">
        <v>555302.345167044</v>
      </c>
      <c r="V72">
        <v>-108012.178348704</v>
      </c>
    </row>
    <row r="73" customFormat="1" spans="1:22">
      <c r="A73" s="71" t="s">
        <v>39</v>
      </c>
      <c r="B73" s="177">
        <v>45717</v>
      </c>
      <c r="C73" s="71" t="s">
        <v>26</v>
      </c>
      <c r="D73" s="71" t="s">
        <v>20</v>
      </c>
      <c r="E73" s="71">
        <v>0.113</v>
      </c>
      <c r="F73" s="71">
        <v>9</v>
      </c>
      <c r="G73" s="71">
        <v>5.15</v>
      </c>
      <c r="H73" s="71">
        <v>0</v>
      </c>
      <c r="I73" s="71">
        <v>3.3</v>
      </c>
      <c r="J73" s="71">
        <v>101409.68</v>
      </c>
      <c r="K73" s="71">
        <v>572011.2</v>
      </c>
      <c r="L73" s="71">
        <v>50343.19</v>
      </c>
      <c r="M73" s="71">
        <v>3845</v>
      </c>
      <c r="N73" s="71">
        <v>88.7</v>
      </c>
      <c r="O73" s="71">
        <v>0</v>
      </c>
      <c r="P73" s="71">
        <v>0</v>
      </c>
      <c r="Q73" s="71">
        <v>1</v>
      </c>
      <c r="R73" s="71">
        <v>1</v>
      </c>
      <c r="S73" s="71">
        <v>0</v>
      </c>
      <c r="T73" s="71">
        <v>0</v>
      </c>
      <c r="U73">
        <v>702386.005239229</v>
      </c>
      <c r="V73">
        <v>35148.6718464179</v>
      </c>
    </row>
    <row r="74" customFormat="1" spans="1:22">
      <c r="A74" s="71" t="s">
        <v>39</v>
      </c>
      <c r="B74" s="177">
        <v>45748</v>
      </c>
      <c r="C74" s="71" t="s">
        <v>26</v>
      </c>
      <c r="D74" s="71" t="s">
        <v>20</v>
      </c>
      <c r="E74" s="71">
        <v>0.054</v>
      </c>
      <c r="F74" s="71">
        <v>17</v>
      </c>
      <c r="G74" s="71">
        <v>1.11</v>
      </c>
      <c r="H74" s="71">
        <v>0</v>
      </c>
      <c r="I74" s="71">
        <v>3.5</v>
      </c>
      <c r="J74" s="71">
        <v>133279.38</v>
      </c>
      <c r="K74" s="71">
        <v>761860.19</v>
      </c>
      <c r="L74" s="71">
        <v>74954.47</v>
      </c>
      <c r="M74" s="71">
        <v>6620</v>
      </c>
      <c r="N74" s="71">
        <v>91.1</v>
      </c>
      <c r="O74" s="71">
        <v>0</v>
      </c>
      <c r="P74" s="71">
        <v>0</v>
      </c>
      <c r="Q74" s="71">
        <v>1</v>
      </c>
      <c r="R74" s="71">
        <v>1</v>
      </c>
      <c r="S74" s="71">
        <v>0</v>
      </c>
      <c r="T74" s="71">
        <v>0</v>
      </c>
      <c r="U74">
        <v>665554.369240243</v>
      </c>
      <c r="V74">
        <v>62242.8916141795</v>
      </c>
    </row>
    <row r="75" customFormat="1" spans="1:22">
      <c r="A75" s="71" t="s">
        <v>40</v>
      </c>
      <c r="B75" s="177">
        <v>45658</v>
      </c>
      <c r="C75" s="71" t="s">
        <v>29</v>
      </c>
      <c r="D75" s="71" t="s">
        <v>20</v>
      </c>
      <c r="E75" s="71">
        <v>0.107</v>
      </c>
      <c r="F75" s="71">
        <v>23</v>
      </c>
      <c r="G75" s="71">
        <v>6.08</v>
      </c>
      <c r="H75" s="71">
        <v>1</v>
      </c>
      <c r="I75" s="71">
        <v>3.4</v>
      </c>
      <c r="J75" s="71">
        <v>129519.72</v>
      </c>
      <c r="K75" s="71">
        <v>784502.68</v>
      </c>
      <c r="L75" s="71">
        <v>70040.31</v>
      </c>
      <c r="M75" s="71">
        <v>9175</v>
      </c>
      <c r="N75" s="71">
        <v>95.1</v>
      </c>
      <c r="O75" s="71">
        <v>0</v>
      </c>
      <c r="P75" s="71">
        <v>0</v>
      </c>
      <c r="Q75" s="71">
        <v>1</v>
      </c>
      <c r="R75" s="71">
        <v>1</v>
      </c>
      <c r="S75" s="71">
        <v>0</v>
      </c>
      <c r="T75" s="71">
        <v>0</v>
      </c>
      <c r="U75">
        <v>516131.190042433</v>
      </c>
      <c r="V75">
        <v>-109985.180465896</v>
      </c>
    </row>
    <row r="76" customFormat="1" spans="1:22">
      <c r="A76" s="71" t="s">
        <v>40</v>
      </c>
      <c r="B76" s="177">
        <v>45689</v>
      </c>
      <c r="C76" s="71" t="s">
        <v>29</v>
      </c>
      <c r="D76" s="71" t="s">
        <v>20</v>
      </c>
      <c r="E76" s="71">
        <v>0.156</v>
      </c>
      <c r="F76" s="71">
        <v>18</v>
      </c>
      <c r="G76" s="71">
        <v>10.91</v>
      </c>
      <c r="H76" s="71">
        <v>0</v>
      </c>
      <c r="I76" s="71">
        <v>3.6</v>
      </c>
      <c r="J76" s="71">
        <v>134013.61</v>
      </c>
      <c r="K76" s="71">
        <v>717141.55</v>
      </c>
      <c r="L76" s="71">
        <v>51148.69</v>
      </c>
      <c r="M76" s="71">
        <v>7940</v>
      </c>
      <c r="N76" s="71">
        <v>93.3</v>
      </c>
      <c r="O76" s="71">
        <v>0</v>
      </c>
      <c r="P76" s="71">
        <v>0</v>
      </c>
      <c r="Q76" s="71">
        <v>0</v>
      </c>
      <c r="R76" s="71">
        <v>0</v>
      </c>
      <c r="S76" s="71">
        <v>0</v>
      </c>
      <c r="T76" s="71">
        <v>0</v>
      </c>
      <c r="U76">
        <v>505962.221392172</v>
      </c>
      <c r="V76">
        <v>-70508.0751320572</v>
      </c>
    </row>
    <row r="77" customFormat="1" spans="1:22">
      <c r="A77" s="71" t="s">
        <v>40</v>
      </c>
      <c r="B77" s="177">
        <v>45717</v>
      </c>
      <c r="C77" s="71" t="s">
        <v>29</v>
      </c>
      <c r="D77" s="71" t="s">
        <v>20</v>
      </c>
      <c r="E77" s="71">
        <v>0.102</v>
      </c>
      <c r="F77" s="71">
        <v>20</v>
      </c>
      <c r="G77" s="71">
        <v>19.01</v>
      </c>
      <c r="H77" s="71">
        <v>1</v>
      </c>
      <c r="I77" s="71">
        <v>3.2</v>
      </c>
      <c r="J77" s="71">
        <v>106898.82</v>
      </c>
      <c r="K77" s="71">
        <v>685379.08</v>
      </c>
      <c r="L77" s="71">
        <v>79346.1</v>
      </c>
      <c r="M77" s="71">
        <v>9628</v>
      </c>
      <c r="N77" s="71">
        <v>99</v>
      </c>
      <c r="O77" s="71">
        <v>0</v>
      </c>
      <c r="P77" s="71">
        <v>0</v>
      </c>
      <c r="Q77" s="71">
        <v>0</v>
      </c>
      <c r="R77" s="71">
        <v>0</v>
      </c>
      <c r="S77" s="71">
        <v>0</v>
      </c>
      <c r="T77" s="71">
        <v>0</v>
      </c>
      <c r="U77">
        <v>520807.301786284</v>
      </c>
      <c r="V77">
        <v>-156057.790559378</v>
      </c>
    </row>
    <row r="78" customFormat="1" spans="1:22">
      <c r="A78" s="71" t="s">
        <v>40</v>
      </c>
      <c r="B78" s="177">
        <v>45748</v>
      </c>
      <c r="C78" s="71" t="s">
        <v>29</v>
      </c>
      <c r="D78" s="71" t="s">
        <v>20</v>
      </c>
      <c r="E78" s="71">
        <v>0.115</v>
      </c>
      <c r="F78" s="71">
        <v>17</v>
      </c>
      <c r="G78" s="71">
        <v>0.77</v>
      </c>
      <c r="H78" s="71">
        <v>0</v>
      </c>
      <c r="I78" s="71">
        <v>3.4</v>
      </c>
      <c r="J78" s="71">
        <v>128020.9</v>
      </c>
      <c r="K78" s="71">
        <v>740496.65</v>
      </c>
      <c r="L78" s="71">
        <v>42018.4</v>
      </c>
      <c r="M78" s="71">
        <v>8296</v>
      </c>
      <c r="N78" s="71">
        <v>91.8</v>
      </c>
      <c r="O78" s="71">
        <v>0</v>
      </c>
      <c r="P78" s="71">
        <v>0</v>
      </c>
      <c r="Q78" s="71">
        <v>0</v>
      </c>
      <c r="R78" s="71">
        <v>0</v>
      </c>
      <c r="S78" s="71">
        <v>0</v>
      </c>
      <c r="T78" s="71">
        <v>0</v>
      </c>
      <c r="U78">
        <v>675417.146498148</v>
      </c>
      <c r="V78">
        <v>28101.0559836832</v>
      </c>
    </row>
    <row r="79" customFormat="1" spans="1:22">
      <c r="A79" s="71" t="s">
        <v>41</v>
      </c>
      <c r="B79" s="177">
        <v>45658</v>
      </c>
      <c r="C79" s="71" t="s">
        <v>17</v>
      </c>
      <c r="D79" s="71" t="s">
        <v>20</v>
      </c>
      <c r="E79" s="71">
        <v>0.141</v>
      </c>
      <c r="F79" s="71">
        <v>11</v>
      </c>
      <c r="G79" s="71">
        <v>2.83</v>
      </c>
      <c r="H79" s="71">
        <v>1</v>
      </c>
      <c r="I79" s="71">
        <v>3.3</v>
      </c>
      <c r="J79" s="71">
        <v>79218.57</v>
      </c>
      <c r="K79" s="71">
        <v>661927.14</v>
      </c>
      <c r="L79" s="71">
        <v>70937.24</v>
      </c>
      <c r="M79" s="71">
        <v>3595</v>
      </c>
      <c r="N79" s="71">
        <v>88.9</v>
      </c>
      <c r="O79" s="71">
        <v>0</v>
      </c>
      <c r="P79" s="71">
        <v>0</v>
      </c>
      <c r="Q79" s="71">
        <v>0</v>
      </c>
      <c r="R79" s="71">
        <v>0</v>
      </c>
      <c r="S79" s="71">
        <v>0</v>
      </c>
      <c r="T79" s="71">
        <v>0</v>
      </c>
      <c r="U79">
        <v>613497.144256094</v>
      </c>
      <c r="V79">
        <v>-47730.5767067466</v>
      </c>
    </row>
    <row r="80" customFormat="1" spans="1:22">
      <c r="A80" s="71" t="s">
        <v>41</v>
      </c>
      <c r="B80" s="177">
        <v>45689</v>
      </c>
      <c r="C80" s="71" t="s">
        <v>17</v>
      </c>
      <c r="D80" s="71" t="s">
        <v>20</v>
      </c>
      <c r="E80" s="71">
        <v>0.191</v>
      </c>
      <c r="F80" s="71">
        <v>11</v>
      </c>
      <c r="G80" s="71">
        <v>2.33</v>
      </c>
      <c r="H80" s="71">
        <v>0</v>
      </c>
      <c r="I80" s="71">
        <v>3.3</v>
      </c>
      <c r="J80" s="71">
        <v>53651.11</v>
      </c>
      <c r="K80" s="71">
        <v>479050.5</v>
      </c>
      <c r="L80" s="71">
        <v>36813.45</v>
      </c>
      <c r="M80" s="71">
        <v>2834</v>
      </c>
      <c r="N80" s="71">
        <v>81.8</v>
      </c>
      <c r="O80" s="71">
        <v>0</v>
      </c>
      <c r="P80" s="71">
        <v>1</v>
      </c>
      <c r="Q80" s="71">
        <v>0</v>
      </c>
      <c r="R80" s="71">
        <v>1</v>
      </c>
      <c r="S80" s="71">
        <v>0</v>
      </c>
      <c r="T80" s="71">
        <v>0</v>
      </c>
      <c r="U80">
        <v>691773.225889221</v>
      </c>
      <c r="V80">
        <v>19416.2787417821</v>
      </c>
    </row>
    <row r="81" customFormat="1" spans="1:22">
      <c r="A81" s="71" t="s">
        <v>41</v>
      </c>
      <c r="B81" s="177">
        <v>45717</v>
      </c>
      <c r="C81" s="71" t="s">
        <v>17</v>
      </c>
      <c r="D81" s="71" t="s">
        <v>20</v>
      </c>
      <c r="E81" s="71">
        <v>0.197</v>
      </c>
      <c r="F81" s="71">
        <v>7</v>
      </c>
      <c r="G81" s="71">
        <v>1.43</v>
      </c>
      <c r="H81" s="71">
        <v>0</v>
      </c>
      <c r="I81" s="71">
        <v>3.2</v>
      </c>
      <c r="J81" s="71">
        <v>98545.81</v>
      </c>
      <c r="K81" s="71">
        <v>605023.87</v>
      </c>
      <c r="L81" s="71">
        <v>60571.82</v>
      </c>
      <c r="M81" s="71">
        <v>3193</v>
      </c>
      <c r="N81" s="71">
        <v>99</v>
      </c>
      <c r="O81" s="71">
        <v>0</v>
      </c>
      <c r="P81" s="71">
        <v>1</v>
      </c>
      <c r="Q81" s="71">
        <v>0</v>
      </c>
      <c r="R81" s="71">
        <v>1</v>
      </c>
      <c r="S81" s="71">
        <v>0</v>
      </c>
      <c r="T81" s="71">
        <v>0</v>
      </c>
      <c r="U81">
        <v>571737.76832779</v>
      </c>
      <c r="V81">
        <v>60664.1348329558</v>
      </c>
    </row>
    <row r="82" customFormat="1" spans="1:22">
      <c r="A82" s="71" t="s">
        <v>41</v>
      </c>
      <c r="B82" s="177">
        <v>45748</v>
      </c>
      <c r="C82" s="71" t="s">
        <v>17</v>
      </c>
      <c r="D82" s="71" t="s">
        <v>20</v>
      </c>
      <c r="E82" s="71">
        <v>0.036</v>
      </c>
      <c r="F82" s="71">
        <v>12</v>
      </c>
      <c r="G82" s="71">
        <v>4.47</v>
      </c>
      <c r="H82" s="71">
        <v>0</v>
      </c>
      <c r="I82" s="71">
        <v>3.5</v>
      </c>
      <c r="J82" s="71">
        <v>141917.59</v>
      </c>
      <c r="K82" s="71">
        <v>674774.09</v>
      </c>
      <c r="L82" s="71">
        <v>55081.16</v>
      </c>
      <c r="M82" s="71">
        <v>5485</v>
      </c>
      <c r="N82" s="71">
        <v>88</v>
      </c>
      <c r="O82" s="71">
        <v>0</v>
      </c>
      <c r="P82" s="71">
        <v>1</v>
      </c>
      <c r="Q82" s="71">
        <v>0</v>
      </c>
      <c r="R82" s="71">
        <v>1</v>
      </c>
      <c r="S82" s="71">
        <v>0</v>
      </c>
      <c r="T82" s="71">
        <v>0</v>
      </c>
      <c r="U82">
        <v>590960.407281076</v>
      </c>
      <c r="V82">
        <v>-130374.805239229</v>
      </c>
    </row>
    <row r="83" customFormat="1" spans="1:22">
      <c r="A83" s="71" t="s">
        <v>42</v>
      </c>
      <c r="B83" s="177">
        <v>45658</v>
      </c>
      <c r="C83" s="71" t="s">
        <v>17</v>
      </c>
      <c r="D83" s="71" t="s">
        <v>18</v>
      </c>
      <c r="E83" s="71">
        <v>0.277</v>
      </c>
      <c r="F83" s="71">
        <v>13</v>
      </c>
      <c r="G83" s="71">
        <v>4.91</v>
      </c>
      <c r="H83" s="71">
        <v>0</v>
      </c>
      <c r="I83" s="71">
        <v>4.5</v>
      </c>
      <c r="J83" s="71">
        <v>54453.99</v>
      </c>
      <c r="K83" s="71">
        <v>616069.41</v>
      </c>
      <c r="L83" s="71">
        <v>46201.46</v>
      </c>
      <c r="M83" s="71">
        <v>5918</v>
      </c>
      <c r="N83" s="71">
        <v>78.8</v>
      </c>
      <c r="O83" s="71">
        <v>0</v>
      </c>
      <c r="P83" s="71">
        <v>1</v>
      </c>
      <c r="Q83" s="71">
        <v>0</v>
      </c>
      <c r="R83" s="71">
        <v>1</v>
      </c>
      <c r="S83" s="71">
        <v>0</v>
      </c>
      <c r="T83" s="71">
        <v>0</v>
      </c>
      <c r="U83">
        <v>721275.448110709</v>
      </c>
      <c r="V83">
        <v>96305.8207597574</v>
      </c>
    </row>
    <row r="84" customFormat="1" spans="1:22">
      <c r="A84" s="71" t="s">
        <v>42</v>
      </c>
      <c r="B84" s="177">
        <v>45689</v>
      </c>
      <c r="C84" s="71" t="s">
        <v>17</v>
      </c>
      <c r="D84" s="71" t="s">
        <v>18</v>
      </c>
      <c r="E84" s="71">
        <v>0.066</v>
      </c>
      <c r="F84" s="71">
        <v>19</v>
      </c>
      <c r="G84" s="71">
        <v>7.03</v>
      </c>
      <c r="H84" s="71">
        <v>0</v>
      </c>
      <c r="I84" s="71">
        <v>4.4</v>
      </c>
      <c r="J84" s="71">
        <v>117090.02</v>
      </c>
      <c r="K84" s="71">
        <v>630829.94</v>
      </c>
      <c r="L84" s="71">
        <v>53762.92</v>
      </c>
      <c r="M84" s="71">
        <v>6821</v>
      </c>
      <c r="N84" s="71">
        <v>94.6</v>
      </c>
      <c r="O84" s="71">
        <v>0</v>
      </c>
      <c r="P84" s="71">
        <v>0</v>
      </c>
      <c r="Q84" s="71">
        <v>1</v>
      </c>
      <c r="R84" s="71">
        <v>1</v>
      </c>
      <c r="S84" s="71">
        <v>0</v>
      </c>
      <c r="T84" s="71">
        <v>0</v>
      </c>
      <c r="U84">
        <v>813792.571628266</v>
      </c>
      <c r="V84">
        <v>268371.489957567</v>
      </c>
    </row>
    <row r="85" customFormat="1" spans="1:22">
      <c r="A85" s="71" t="s">
        <v>42</v>
      </c>
      <c r="B85" s="177">
        <v>45717</v>
      </c>
      <c r="C85" s="71" t="s">
        <v>17</v>
      </c>
      <c r="D85" s="71" t="s">
        <v>18</v>
      </c>
      <c r="E85" s="71">
        <v>0.178</v>
      </c>
      <c r="F85" s="71">
        <v>20</v>
      </c>
      <c r="G85" s="71">
        <v>0.28</v>
      </c>
      <c r="H85" s="71">
        <v>1</v>
      </c>
      <c r="I85" s="71">
        <v>4.3</v>
      </c>
      <c r="J85" s="71">
        <v>116803.42</v>
      </c>
      <c r="K85" s="71">
        <v>788087.68</v>
      </c>
      <c r="L85" s="71">
        <v>70144.78</v>
      </c>
      <c r="M85" s="71">
        <v>6806</v>
      </c>
      <c r="N85" s="71">
        <v>93.1</v>
      </c>
      <c r="O85" s="71">
        <v>0</v>
      </c>
      <c r="P85" s="71">
        <v>0</v>
      </c>
      <c r="Q85" s="71">
        <v>1</v>
      </c>
      <c r="R85" s="71">
        <v>1</v>
      </c>
      <c r="S85" s="71">
        <v>0</v>
      </c>
      <c r="T85" s="71">
        <v>0</v>
      </c>
      <c r="U85">
        <v>748312.778664729</v>
      </c>
      <c r="V85">
        <v>211179.328607828</v>
      </c>
    </row>
    <row r="86" customFormat="1" spans="1:22">
      <c r="A86" s="71" t="s">
        <v>42</v>
      </c>
      <c r="B86" s="177">
        <v>45748</v>
      </c>
      <c r="C86" s="71" t="s">
        <v>17</v>
      </c>
      <c r="D86" s="71" t="s">
        <v>18</v>
      </c>
      <c r="E86" s="71">
        <v>0.203</v>
      </c>
      <c r="F86" s="71">
        <v>20</v>
      </c>
      <c r="G86" s="71">
        <v>3.61</v>
      </c>
      <c r="H86" s="71">
        <v>0</v>
      </c>
      <c r="I86" s="71">
        <v>4.5</v>
      </c>
      <c r="J86" s="71">
        <v>68007.68</v>
      </c>
      <c r="K86" s="71">
        <v>680840.36</v>
      </c>
      <c r="L86" s="71">
        <v>58749.63</v>
      </c>
      <c r="M86" s="71">
        <v>8252</v>
      </c>
      <c r="N86" s="71">
        <v>85.2</v>
      </c>
      <c r="O86" s="71">
        <v>0</v>
      </c>
      <c r="P86" s="71">
        <v>0</v>
      </c>
      <c r="Q86" s="71">
        <v>1</v>
      </c>
      <c r="R86" s="71">
        <v>1</v>
      </c>
      <c r="S86" s="71">
        <v>0</v>
      </c>
      <c r="T86" s="71">
        <v>0</v>
      </c>
      <c r="U86">
        <v>855856.002073545</v>
      </c>
      <c r="V86">
        <v>164571.778213716</v>
      </c>
    </row>
    <row r="87" customFormat="1" spans="1:22">
      <c r="A87" s="71" t="s">
        <v>43</v>
      </c>
      <c r="B87" s="177">
        <v>45658</v>
      </c>
      <c r="C87" s="71" t="s">
        <v>26</v>
      </c>
      <c r="D87" s="71" t="s">
        <v>20</v>
      </c>
      <c r="E87" s="71">
        <v>0.1</v>
      </c>
      <c r="F87" s="71">
        <v>15</v>
      </c>
      <c r="G87" s="71">
        <v>7.52</v>
      </c>
      <c r="H87" s="71">
        <v>1</v>
      </c>
      <c r="I87" s="71">
        <v>3.2</v>
      </c>
      <c r="J87" s="71">
        <v>87022.45</v>
      </c>
      <c r="K87" s="71">
        <v>643657.47</v>
      </c>
      <c r="L87" s="71">
        <v>56973.18</v>
      </c>
      <c r="M87" s="71">
        <v>6662</v>
      </c>
      <c r="N87" s="71">
        <v>77.7</v>
      </c>
      <c r="O87" s="71">
        <v>0</v>
      </c>
      <c r="P87" s="71">
        <v>0</v>
      </c>
      <c r="Q87" s="71">
        <v>1</v>
      </c>
      <c r="R87" s="71">
        <v>1</v>
      </c>
      <c r="S87" s="71">
        <v>0</v>
      </c>
      <c r="T87" s="71">
        <v>0</v>
      </c>
      <c r="U87">
        <v>745074.913349412</v>
      </c>
      <c r="V87">
        <v>65079.5035018517</v>
      </c>
    </row>
    <row r="88" customFormat="1" spans="1:22">
      <c r="A88" s="71" t="s">
        <v>43</v>
      </c>
      <c r="B88" s="177">
        <v>45689</v>
      </c>
      <c r="C88" s="71" t="s">
        <v>26</v>
      </c>
      <c r="D88" s="71" t="s">
        <v>20</v>
      </c>
      <c r="E88" s="71">
        <v>0.064</v>
      </c>
      <c r="F88" s="71">
        <v>12</v>
      </c>
      <c r="G88" s="71">
        <v>2.58</v>
      </c>
      <c r="H88" s="71">
        <v>0</v>
      </c>
      <c r="I88" s="71">
        <v>2.9</v>
      </c>
      <c r="J88" s="71">
        <v>109212.83</v>
      </c>
      <c r="K88" s="71">
        <v>691112.6</v>
      </c>
      <c r="L88" s="71">
        <v>54872.82</v>
      </c>
      <c r="M88" s="71">
        <v>5962</v>
      </c>
      <c r="N88" s="71">
        <v>85.4</v>
      </c>
      <c r="O88" s="71">
        <v>0</v>
      </c>
      <c r="P88" s="71">
        <v>0</v>
      </c>
      <c r="Q88" s="71">
        <v>0</v>
      </c>
      <c r="R88" s="71">
        <v>1</v>
      </c>
      <c r="S88" s="71">
        <v>0</v>
      </c>
      <c r="T88" s="71">
        <v>0</v>
      </c>
      <c r="U88">
        <v>611678.181408444</v>
      </c>
      <c r="V88">
        <v>48429.9957439055</v>
      </c>
    </row>
    <row r="89" customFormat="1" spans="1:22">
      <c r="A89" s="71" t="s">
        <v>43</v>
      </c>
      <c r="B89" s="177">
        <v>45717</v>
      </c>
      <c r="C89" s="71" t="s">
        <v>26</v>
      </c>
      <c r="D89" s="71" t="s">
        <v>20</v>
      </c>
      <c r="E89" s="71">
        <v>0.172</v>
      </c>
      <c r="F89" s="71">
        <v>16</v>
      </c>
      <c r="G89" s="71">
        <v>2.29</v>
      </c>
      <c r="H89" s="71">
        <v>0</v>
      </c>
      <c r="I89" s="71">
        <v>3.3</v>
      </c>
      <c r="J89" s="71">
        <v>150701.93</v>
      </c>
      <c r="K89" s="71">
        <v>776922.17</v>
      </c>
      <c r="L89" s="71">
        <v>80562.81</v>
      </c>
      <c r="M89" s="71">
        <v>7470</v>
      </c>
      <c r="N89" s="71">
        <v>83.5</v>
      </c>
      <c r="O89" s="71">
        <v>0</v>
      </c>
      <c r="P89" s="71">
        <v>0</v>
      </c>
      <c r="Q89" s="71">
        <v>0</v>
      </c>
      <c r="R89" s="71">
        <v>1</v>
      </c>
      <c r="S89" s="71">
        <v>0</v>
      </c>
      <c r="T89" s="71">
        <v>0</v>
      </c>
      <c r="U89">
        <v>521530.590503255</v>
      </c>
      <c r="V89">
        <v>-212722.725889221</v>
      </c>
    </row>
    <row r="90" customFormat="1" spans="1:22">
      <c r="A90" s="71" t="s">
        <v>43</v>
      </c>
      <c r="B90" s="177">
        <v>45748</v>
      </c>
      <c r="C90" s="71" t="s">
        <v>26</v>
      </c>
      <c r="D90" s="71" t="s">
        <v>20</v>
      </c>
      <c r="E90" s="71">
        <v>0.252</v>
      </c>
      <c r="F90" s="71">
        <v>14</v>
      </c>
      <c r="G90" s="71">
        <v>2.39</v>
      </c>
      <c r="H90" s="71">
        <v>0</v>
      </c>
      <c r="I90" s="71">
        <v>3.2</v>
      </c>
      <c r="J90" s="71">
        <v>93861.06</v>
      </c>
      <c r="K90" s="71">
        <v>636561.34</v>
      </c>
      <c r="L90" s="71">
        <v>77999.9</v>
      </c>
      <c r="M90" s="71">
        <v>5974</v>
      </c>
      <c r="N90" s="71">
        <v>81.3</v>
      </c>
      <c r="O90" s="71">
        <v>0</v>
      </c>
      <c r="P90" s="71">
        <v>0</v>
      </c>
      <c r="Q90" s="71">
        <v>0</v>
      </c>
      <c r="R90" s="71">
        <v>1</v>
      </c>
      <c r="S90" s="71">
        <v>0</v>
      </c>
      <c r="T90" s="71">
        <v>0</v>
      </c>
      <c r="U90">
        <v>612853.566447248</v>
      </c>
      <c r="V90">
        <v>33286.1016722097</v>
      </c>
    </row>
    <row r="91" customFormat="1" spans="1:22">
      <c r="A91" s="71" t="s">
        <v>44</v>
      </c>
      <c r="B91" s="177">
        <v>45658</v>
      </c>
      <c r="C91" s="71" t="s">
        <v>29</v>
      </c>
      <c r="D91" s="71" t="s">
        <v>30</v>
      </c>
      <c r="E91" s="71">
        <v>0.179</v>
      </c>
      <c r="F91" s="71">
        <v>15</v>
      </c>
      <c r="G91" s="71">
        <v>5.24</v>
      </c>
      <c r="H91" s="71">
        <v>0</v>
      </c>
      <c r="I91" s="71">
        <v>4.6</v>
      </c>
      <c r="J91" s="71">
        <v>85493.64</v>
      </c>
      <c r="K91" s="71">
        <v>621369.58</v>
      </c>
      <c r="L91" s="71">
        <v>60881.01</v>
      </c>
      <c r="M91" s="71">
        <v>5410</v>
      </c>
      <c r="N91" s="71">
        <v>83.9</v>
      </c>
      <c r="O91" s="71">
        <v>0</v>
      </c>
      <c r="P91" s="71">
        <v>0</v>
      </c>
      <c r="Q91" s="71">
        <v>0</v>
      </c>
      <c r="R91" s="71">
        <v>1</v>
      </c>
      <c r="S91" s="71">
        <v>0</v>
      </c>
      <c r="T91" s="71">
        <v>0</v>
      </c>
      <c r="U91">
        <v>651361.411110528</v>
      </c>
      <c r="V91">
        <v>83813.6827189235</v>
      </c>
    </row>
    <row r="92" customFormat="1" spans="1:22">
      <c r="A92" s="71" t="s">
        <v>44</v>
      </c>
      <c r="B92" s="177">
        <v>45689</v>
      </c>
      <c r="C92" s="71" t="s">
        <v>29</v>
      </c>
      <c r="D92" s="71" t="s">
        <v>30</v>
      </c>
      <c r="E92" s="71">
        <v>0.095</v>
      </c>
      <c r="F92" s="71">
        <v>10</v>
      </c>
      <c r="G92" s="71">
        <v>3.17</v>
      </c>
      <c r="H92" s="71">
        <v>0</v>
      </c>
      <c r="I92" s="71">
        <v>4.6</v>
      </c>
      <c r="J92" s="71">
        <v>110318.84</v>
      </c>
      <c r="K92" s="71">
        <v>682208.01</v>
      </c>
      <c r="L92" s="71">
        <v>60628.38</v>
      </c>
      <c r="M92" s="71">
        <v>4451</v>
      </c>
      <c r="N92" s="71">
        <v>89.6</v>
      </c>
      <c r="O92" s="71">
        <v>0</v>
      </c>
      <c r="P92" s="71">
        <v>0</v>
      </c>
      <c r="Q92" s="71">
        <v>0</v>
      </c>
      <c r="R92" s="71">
        <v>0</v>
      </c>
      <c r="S92" s="71">
        <v>0</v>
      </c>
      <c r="T92" s="71">
        <v>1</v>
      </c>
      <c r="U92">
        <v>628226.758037334</v>
      </c>
      <c r="V92">
        <v>-105206.038110709</v>
      </c>
    </row>
    <row r="93" customFormat="1" spans="1:22">
      <c r="A93" s="71" t="s">
        <v>44</v>
      </c>
      <c r="B93" s="177">
        <v>45717</v>
      </c>
      <c r="C93" s="71" t="s">
        <v>29</v>
      </c>
      <c r="D93" s="71" t="s">
        <v>30</v>
      </c>
      <c r="E93" s="71">
        <v>0.084</v>
      </c>
      <c r="F93" s="71">
        <v>15</v>
      </c>
      <c r="G93" s="71">
        <v>2.66</v>
      </c>
      <c r="H93" s="71">
        <v>0</v>
      </c>
      <c r="I93" s="71">
        <v>4.6</v>
      </c>
      <c r="J93" s="71">
        <v>155810.3</v>
      </c>
      <c r="K93" s="71">
        <v>727241.86</v>
      </c>
      <c r="L93" s="71">
        <v>72731.14</v>
      </c>
      <c r="M93" s="71">
        <v>4644</v>
      </c>
      <c r="N93" s="71">
        <v>87.1</v>
      </c>
      <c r="O93" s="71">
        <v>0</v>
      </c>
      <c r="P93" s="71">
        <v>0</v>
      </c>
      <c r="Q93" s="71">
        <v>0</v>
      </c>
      <c r="R93" s="71">
        <v>0</v>
      </c>
      <c r="S93" s="71">
        <v>0</v>
      </c>
      <c r="T93" s="71">
        <v>1</v>
      </c>
      <c r="U93">
        <v>713262.570751369</v>
      </c>
      <c r="V93">
        <v>-182962.631628266</v>
      </c>
    </row>
    <row r="94" customFormat="1" spans="1:22">
      <c r="A94" s="71" t="s">
        <v>44</v>
      </c>
      <c r="B94" s="177">
        <v>45748</v>
      </c>
      <c r="C94" s="71" t="s">
        <v>29</v>
      </c>
      <c r="D94" s="71" t="s">
        <v>30</v>
      </c>
      <c r="E94" s="71">
        <v>0.03</v>
      </c>
      <c r="F94" s="71">
        <v>8</v>
      </c>
      <c r="G94" s="71">
        <v>1.41</v>
      </c>
      <c r="H94" s="71">
        <v>0</v>
      </c>
      <c r="I94" s="71">
        <v>4.2</v>
      </c>
      <c r="J94" s="71">
        <v>104808.78</v>
      </c>
      <c r="K94" s="71">
        <v>569100.78</v>
      </c>
      <c r="L94" s="71">
        <v>36475.71</v>
      </c>
      <c r="M94" s="71">
        <v>3559</v>
      </c>
      <c r="N94" s="71">
        <v>83.6</v>
      </c>
      <c r="O94" s="71">
        <v>0</v>
      </c>
      <c r="P94" s="71">
        <v>0</v>
      </c>
      <c r="Q94" s="71">
        <v>0</v>
      </c>
      <c r="R94" s="71">
        <v>0</v>
      </c>
      <c r="S94" s="71">
        <v>0</v>
      </c>
      <c r="T94" s="71">
        <v>1</v>
      </c>
      <c r="U94">
        <v>727780.281236965</v>
      </c>
      <c r="V94">
        <v>39774.9013352711</v>
      </c>
    </row>
    <row r="95" customFormat="1" spans="1:22">
      <c r="A95" s="71" t="s">
        <v>45</v>
      </c>
      <c r="B95" s="177">
        <v>45658</v>
      </c>
      <c r="C95" s="71" t="s">
        <v>29</v>
      </c>
      <c r="D95" s="71" t="s">
        <v>20</v>
      </c>
      <c r="E95" s="71">
        <v>0.108</v>
      </c>
      <c r="F95" s="71">
        <v>7</v>
      </c>
      <c r="G95" s="71">
        <v>7.34</v>
      </c>
      <c r="H95" s="71">
        <v>0</v>
      </c>
      <c r="I95" s="71">
        <v>4.9</v>
      </c>
      <c r="J95" s="71">
        <v>80271.99</v>
      </c>
      <c r="K95" s="71">
        <v>574436.29</v>
      </c>
      <c r="L95" s="71">
        <v>55388.11</v>
      </c>
      <c r="M95" s="71">
        <v>3091</v>
      </c>
      <c r="N95" s="71">
        <v>85.4</v>
      </c>
      <c r="O95" s="71">
        <v>0</v>
      </c>
      <c r="P95" s="71">
        <v>0</v>
      </c>
      <c r="Q95" s="71">
        <v>0</v>
      </c>
      <c r="R95" s="71">
        <v>0</v>
      </c>
      <c r="S95" s="71">
        <v>0</v>
      </c>
      <c r="T95" s="71">
        <v>1</v>
      </c>
      <c r="U95">
        <v>739806.015493887</v>
      </c>
      <c r="V95">
        <v>-175015.642073545</v>
      </c>
    </row>
    <row r="96" customFormat="1" spans="1:22">
      <c r="A96" s="71" t="s">
        <v>45</v>
      </c>
      <c r="B96" s="177">
        <v>45689</v>
      </c>
      <c r="C96" s="71" t="s">
        <v>29</v>
      </c>
      <c r="D96" s="71" t="s">
        <v>20</v>
      </c>
      <c r="E96" s="71">
        <v>0.206</v>
      </c>
      <c r="F96" s="71">
        <v>11</v>
      </c>
      <c r="G96" s="71">
        <v>5.95</v>
      </c>
      <c r="H96" s="71">
        <v>0</v>
      </c>
      <c r="I96" s="71">
        <v>3.95</v>
      </c>
      <c r="J96" s="71">
        <v>88275.61</v>
      </c>
      <c r="K96" s="71">
        <v>611766.72</v>
      </c>
      <c r="L96" s="71">
        <v>88443.77</v>
      </c>
      <c r="M96" s="71">
        <v>4004</v>
      </c>
      <c r="N96" s="71">
        <v>91.9</v>
      </c>
      <c r="O96" s="71">
        <v>0</v>
      </c>
      <c r="P96" s="71">
        <v>1</v>
      </c>
      <c r="Q96" s="71">
        <v>0</v>
      </c>
      <c r="R96" s="71">
        <v>1</v>
      </c>
      <c r="S96" s="71">
        <v>0</v>
      </c>
      <c r="T96" s="71">
        <v>0</v>
      </c>
      <c r="U96">
        <v>661648.324585127</v>
      </c>
      <c r="V96">
        <v>-101417.443349412</v>
      </c>
    </row>
    <row r="97" customFormat="1" spans="1:22">
      <c r="A97" s="71" t="s">
        <v>45</v>
      </c>
      <c r="B97" s="177">
        <v>45717</v>
      </c>
      <c r="C97" s="71" t="s">
        <v>29</v>
      </c>
      <c r="D97" s="71" t="s">
        <v>20</v>
      </c>
      <c r="E97" s="71">
        <v>0.059</v>
      </c>
      <c r="F97" s="71">
        <v>11</v>
      </c>
      <c r="G97" s="71">
        <v>15.51</v>
      </c>
      <c r="H97" s="71">
        <v>0</v>
      </c>
      <c r="I97" s="71">
        <v>4.3</v>
      </c>
      <c r="J97" s="71">
        <v>131199.41</v>
      </c>
      <c r="K97" s="71">
        <v>614596.32</v>
      </c>
      <c r="L97" s="71">
        <v>78231.91</v>
      </c>
      <c r="M97" s="71">
        <v>3788</v>
      </c>
      <c r="N97" s="71">
        <v>88.5</v>
      </c>
      <c r="O97" s="71">
        <v>0</v>
      </c>
      <c r="P97" s="71">
        <v>1</v>
      </c>
      <c r="Q97" s="71">
        <v>0</v>
      </c>
      <c r="R97" s="71">
        <v>1</v>
      </c>
      <c r="S97" s="71">
        <v>0</v>
      </c>
      <c r="T97" s="71">
        <v>0</v>
      </c>
      <c r="U97">
        <v>639317.442506963</v>
      </c>
      <c r="V97">
        <v>79434.4185915558</v>
      </c>
    </row>
    <row r="98" customFormat="1" spans="1:22">
      <c r="A98" s="71" t="s">
        <v>45</v>
      </c>
      <c r="B98" s="177">
        <v>45748</v>
      </c>
      <c r="C98" s="71" t="s">
        <v>29</v>
      </c>
      <c r="D98" s="71" t="s">
        <v>20</v>
      </c>
      <c r="E98" s="71">
        <v>0.145</v>
      </c>
      <c r="F98" s="71">
        <v>9</v>
      </c>
      <c r="G98" s="71">
        <v>4.31</v>
      </c>
      <c r="H98" s="71">
        <v>0</v>
      </c>
      <c r="I98" s="71">
        <v>4.6</v>
      </c>
      <c r="J98" s="71">
        <v>90043.76</v>
      </c>
      <c r="K98" s="71">
        <v>450711.92</v>
      </c>
      <c r="L98" s="71">
        <v>18996.32</v>
      </c>
      <c r="M98" s="71">
        <v>1260</v>
      </c>
      <c r="N98" s="71">
        <v>86.4</v>
      </c>
      <c r="O98" s="71">
        <v>0</v>
      </c>
      <c r="P98" s="71">
        <v>1</v>
      </c>
      <c r="Q98" s="71">
        <v>0</v>
      </c>
      <c r="R98" s="71">
        <v>1</v>
      </c>
      <c r="S98" s="71">
        <v>0</v>
      </c>
      <c r="T98" s="71">
        <v>0</v>
      </c>
      <c r="U98">
        <v>715280.530173454</v>
      </c>
      <c r="V98">
        <v>255391.579496745</v>
      </c>
    </row>
    <row r="99" customFormat="1" spans="1:22">
      <c r="A99" s="71" t="s">
        <v>46</v>
      </c>
      <c r="B99" s="177">
        <v>45658</v>
      </c>
      <c r="C99" s="71" t="s">
        <v>26</v>
      </c>
      <c r="D99" s="71" t="s">
        <v>30</v>
      </c>
      <c r="E99" s="71">
        <v>0.029</v>
      </c>
      <c r="F99" s="71">
        <v>18</v>
      </c>
      <c r="G99" s="71">
        <v>6.61</v>
      </c>
      <c r="H99" s="71">
        <v>1</v>
      </c>
      <c r="I99" s="71">
        <v>4.1</v>
      </c>
      <c r="J99" s="71">
        <v>105863.26</v>
      </c>
      <c r="K99" s="71">
        <v>711213.46</v>
      </c>
      <c r="L99" s="71">
        <v>50517.94</v>
      </c>
      <c r="M99" s="71">
        <v>7024</v>
      </c>
      <c r="N99" s="71">
        <v>79.2</v>
      </c>
      <c r="O99" s="71">
        <v>0</v>
      </c>
      <c r="P99" s="71">
        <v>1</v>
      </c>
      <c r="Q99" s="71">
        <v>0</v>
      </c>
      <c r="R99" s="71">
        <v>1</v>
      </c>
      <c r="S99" s="71">
        <v>0</v>
      </c>
      <c r="T99" s="71">
        <v>0</v>
      </c>
      <c r="U99">
        <v>655065.800107564</v>
      </c>
      <c r="V99">
        <v>23707.7735527519</v>
      </c>
    </row>
    <row r="100" customFormat="1" spans="1:22">
      <c r="A100" s="71" t="s">
        <v>46</v>
      </c>
      <c r="B100" s="177">
        <v>45689</v>
      </c>
      <c r="C100" s="71" t="s">
        <v>26</v>
      </c>
      <c r="D100" s="71" t="s">
        <v>30</v>
      </c>
      <c r="E100" s="71">
        <v>0.013</v>
      </c>
      <c r="F100" s="71">
        <v>12</v>
      </c>
      <c r="G100" s="71">
        <v>4.26</v>
      </c>
      <c r="H100" s="71">
        <v>0</v>
      </c>
      <c r="I100" s="71">
        <v>4.5</v>
      </c>
      <c r="J100" s="71">
        <v>105772.75</v>
      </c>
      <c r="K100" s="71">
        <v>627171.9</v>
      </c>
      <c r="L100" s="71">
        <v>141540.29</v>
      </c>
      <c r="M100" s="71">
        <v>5400</v>
      </c>
      <c r="N100" s="71">
        <v>87</v>
      </c>
      <c r="O100" s="71">
        <v>0</v>
      </c>
      <c r="P100" s="71">
        <v>0</v>
      </c>
      <c r="Q100" s="71">
        <v>1</v>
      </c>
      <c r="R100" s="71">
        <v>0</v>
      </c>
      <c r="S100" s="71">
        <v>1</v>
      </c>
      <c r="T100" s="71">
        <v>0</v>
      </c>
      <c r="U100">
        <v>623324.800176735</v>
      </c>
      <c r="V100">
        <v>-29991.8311105279</v>
      </c>
    </row>
    <row r="101" customFormat="1" spans="1:22">
      <c r="A101" s="71" t="s">
        <v>46</v>
      </c>
      <c r="B101" s="177">
        <v>45717</v>
      </c>
      <c r="C101" s="71" t="s">
        <v>26</v>
      </c>
      <c r="D101" s="71" t="s">
        <v>30</v>
      </c>
      <c r="E101" s="71">
        <v>0.04</v>
      </c>
      <c r="F101" s="71">
        <v>17</v>
      </c>
      <c r="G101" s="71">
        <v>5.75</v>
      </c>
      <c r="H101" s="71">
        <v>0</v>
      </c>
      <c r="I101" s="71">
        <v>4.7</v>
      </c>
      <c r="J101" s="71">
        <v>129386.43</v>
      </c>
      <c r="K101" s="71">
        <v>739852.58</v>
      </c>
      <c r="L101" s="71">
        <v>82116.19</v>
      </c>
      <c r="M101" s="71">
        <v>5988</v>
      </c>
      <c r="N101" s="71">
        <v>91.8</v>
      </c>
      <c r="O101" s="71">
        <v>0</v>
      </c>
      <c r="P101" s="71">
        <v>0</v>
      </c>
      <c r="Q101" s="71">
        <v>1</v>
      </c>
      <c r="R101" s="71">
        <v>0</v>
      </c>
      <c r="S101" s="71">
        <v>1</v>
      </c>
      <c r="T101" s="71">
        <v>0</v>
      </c>
      <c r="U101">
        <v>590855.783349303</v>
      </c>
      <c r="V101">
        <v>53981.2519626657</v>
      </c>
    </row>
    <row r="102" customFormat="1" spans="1:22">
      <c r="A102" s="71" t="s">
        <v>46</v>
      </c>
      <c r="B102" s="177">
        <v>45748</v>
      </c>
      <c r="C102" s="71" t="s">
        <v>26</v>
      </c>
      <c r="D102" s="71" t="s">
        <v>30</v>
      </c>
      <c r="E102" s="71">
        <v>0.043</v>
      </c>
      <c r="F102" s="71">
        <v>11</v>
      </c>
      <c r="G102" s="71">
        <v>0.33</v>
      </c>
      <c r="H102" s="71">
        <v>0</v>
      </c>
      <c r="I102" s="71">
        <v>4.3</v>
      </c>
      <c r="J102" s="71">
        <v>73927.85</v>
      </c>
      <c r="K102" s="71">
        <v>586307.22</v>
      </c>
      <c r="L102" s="71">
        <v>31207.51</v>
      </c>
      <c r="M102" s="71">
        <v>3701</v>
      </c>
      <c r="N102" s="71">
        <v>84.7</v>
      </c>
      <c r="O102" s="71">
        <v>0</v>
      </c>
      <c r="P102" s="71">
        <v>0</v>
      </c>
      <c r="Q102" s="71">
        <v>1</v>
      </c>
      <c r="R102" s="71">
        <v>0</v>
      </c>
      <c r="S102" s="71">
        <v>1</v>
      </c>
      <c r="T102" s="71">
        <v>0</v>
      </c>
      <c r="U102">
        <v>604369.961755179</v>
      </c>
      <c r="V102">
        <v>13979.2892486313</v>
      </c>
    </row>
    <row r="103" customFormat="1" spans="1:22">
      <c r="A103" s="71" t="s">
        <v>47</v>
      </c>
      <c r="B103" s="177">
        <v>45658</v>
      </c>
      <c r="C103" s="71" t="s">
        <v>29</v>
      </c>
      <c r="D103" s="71" t="s">
        <v>18</v>
      </c>
      <c r="E103" s="71">
        <v>0.194</v>
      </c>
      <c r="F103" s="71">
        <v>14</v>
      </c>
      <c r="G103" s="71">
        <v>2.92</v>
      </c>
      <c r="H103" s="71">
        <v>0</v>
      </c>
      <c r="I103" s="71">
        <v>4.6</v>
      </c>
      <c r="J103" s="71">
        <v>82624.2</v>
      </c>
      <c r="K103" s="71">
        <v>585937.48</v>
      </c>
      <c r="L103" s="71">
        <v>38966.59</v>
      </c>
      <c r="M103" s="71">
        <v>4509</v>
      </c>
      <c r="N103" s="71">
        <v>91.1</v>
      </c>
      <c r="O103" s="71">
        <v>0</v>
      </c>
      <c r="P103" s="71">
        <v>0</v>
      </c>
      <c r="Q103" s="71">
        <v>1</v>
      </c>
      <c r="R103" s="71">
        <v>0</v>
      </c>
      <c r="S103" s="71">
        <v>1</v>
      </c>
      <c r="T103" s="71">
        <v>0</v>
      </c>
      <c r="U103">
        <v>514183.188801833</v>
      </c>
      <c r="V103">
        <v>-158679.501236965</v>
      </c>
    </row>
    <row r="104" customFormat="1" spans="1:22">
      <c r="A104" s="71" t="s">
        <v>47</v>
      </c>
      <c r="B104" s="177">
        <v>45689</v>
      </c>
      <c r="C104" s="71" t="s">
        <v>29</v>
      </c>
      <c r="D104" s="71" t="s">
        <v>18</v>
      </c>
      <c r="E104" s="71">
        <v>0</v>
      </c>
      <c r="F104" s="71">
        <v>16</v>
      </c>
      <c r="G104" s="71">
        <v>1.64</v>
      </c>
      <c r="H104" s="71">
        <v>0</v>
      </c>
      <c r="I104" s="71">
        <v>4.5</v>
      </c>
      <c r="J104" s="71">
        <v>151527.22</v>
      </c>
      <c r="K104" s="71">
        <v>753473.55</v>
      </c>
      <c r="L104" s="71">
        <v>67439.3</v>
      </c>
      <c r="M104" s="71">
        <v>6477</v>
      </c>
      <c r="N104" s="71">
        <v>90.9</v>
      </c>
      <c r="O104" s="71">
        <v>0</v>
      </c>
      <c r="P104" s="71">
        <v>0</v>
      </c>
      <c r="Q104" s="71">
        <v>1</v>
      </c>
      <c r="R104" s="71">
        <v>1</v>
      </c>
      <c r="S104" s="71">
        <v>0</v>
      </c>
      <c r="T104" s="71">
        <v>0</v>
      </c>
      <c r="U104">
        <v>526141.784496855</v>
      </c>
      <c r="V104">
        <v>-165369.725493887</v>
      </c>
    </row>
    <row r="105" customFormat="1" spans="1:22">
      <c r="A105" s="71" t="s">
        <v>47</v>
      </c>
      <c r="B105" s="177">
        <v>45717</v>
      </c>
      <c r="C105" s="71" t="s">
        <v>29</v>
      </c>
      <c r="D105" s="71" t="s">
        <v>18</v>
      </c>
      <c r="E105" s="71">
        <v>0.073</v>
      </c>
      <c r="F105" s="71">
        <v>17</v>
      </c>
      <c r="G105" s="71">
        <v>0.8</v>
      </c>
      <c r="H105" s="71">
        <v>0</v>
      </c>
      <c r="I105" s="71">
        <v>5</v>
      </c>
      <c r="J105" s="71">
        <v>122939.34</v>
      </c>
      <c r="K105" s="71">
        <v>838250.32</v>
      </c>
      <c r="L105" s="71">
        <v>86421.88</v>
      </c>
      <c r="M105" s="71">
        <v>7970</v>
      </c>
      <c r="N105" s="71">
        <v>91.3</v>
      </c>
      <c r="O105" s="71">
        <v>0</v>
      </c>
      <c r="P105" s="71">
        <v>0</v>
      </c>
      <c r="Q105" s="71">
        <v>1</v>
      </c>
      <c r="R105" s="71">
        <v>1</v>
      </c>
      <c r="S105" s="71">
        <v>0</v>
      </c>
      <c r="T105" s="71">
        <v>0</v>
      </c>
      <c r="U105">
        <v>652410.70665885</v>
      </c>
      <c r="V105">
        <v>-49881.6045851269</v>
      </c>
    </row>
    <row r="106" customFormat="1" spans="1:22">
      <c r="A106" s="71" t="s">
        <v>47</v>
      </c>
      <c r="B106" s="177">
        <v>45748</v>
      </c>
      <c r="C106" s="71" t="s">
        <v>29</v>
      </c>
      <c r="D106" s="71" t="s">
        <v>18</v>
      </c>
      <c r="E106" s="71">
        <v>0.074</v>
      </c>
      <c r="F106" s="71">
        <v>15</v>
      </c>
      <c r="G106" s="71">
        <v>5.79</v>
      </c>
      <c r="H106" s="71">
        <v>0</v>
      </c>
      <c r="I106" s="71">
        <v>4.5</v>
      </c>
      <c r="J106" s="71">
        <v>135404.85</v>
      </c>
      <c r="K106" s="71">
        <v>607898.12</v>
      </c>
      <c r="L106" s="71">
        <v>9534.65</v>
      </c>
      <c r="M106" s="71">
        <v>6057</v>
      </c>
      <c r="N106" s="71">
        <v>94.1</v>
      </c>
      <c r="O106" s="71">
        <v>0</v>
      </c>
      <c r="P106" s="71">
        <v>0</v>
      </c>
      <c r="Q106" s="71">
        <v>1</v>
      </c>
      <c r="R106" s="71">
        <v>1</v>
      </c>
      <c r="S106" s="71">
        <v>0</v>
      </c>
      <c r="T106" s="71">
        <v>0</v>
      </c>
      <c r="U106">
        <v>622893.321801064</v>
      </c>
      <c r="V106">
        <v>-24721.1225069632</v>
      </c>
    </row>
    <row r="107" customFormat="1" spans="1:22">
      <c r="A107" s="71" t="s">
        <v>48</v>
      </c>
      <c r="B107" s="177">
        <v>45658</v>
      </c>
      <c r="C107" s="71" t="s">
        <v>29</v>
      </c>
      <c r="D107" s="71" t="s">
        <v>30</v>
      </c>
      <c r="E107" s="71">
        <v>0.163</v>
      </c>
      <c r="F107" s="71">
        <v>19</v>
      </c>
      <c r="G107" s="71">
        <v>19.6</v>
      </c>
      <c r="H107" s="71">
        <v>0</v>
      </c>
      <c r="I107" s="71">
        <v>4.4</v>
      </c>
      <c r="J107" s="71">
        <v>135145.44</v>
      </c>
      <c r="K107" s="71">
        <v>691113.62</v>
      </c>
      <c r="L107" s="71">
        <v>61132.07</v>
      </c>
      <c r="M107" s="71">
        <v>6394</v>
      </c>
      <c r="N107" s="71">
        <v>91</v>
      </c>
      <c r="O107" s="71">
        <v>0</v>
      </c>
      <c r="P107" s="71">
        <v>0</v>
      </c>
      <c r="Q107" s="71">
        <v>1</v>
      </c>
      <c r="R107" s="71">
        <v>1</v>
      </c>
      <c r="S107" s="71">
        <v>0</v>
      </c>
      <c r="T107" s="71">
        <v>0</v>
      </c>
      <c r="U107">
        <v>460683.961736526</v>
      </c>
      <c r="V107">
        <v>-264568.610173454</v>
      </c>
    </row>
    <row r="108" customFormat="1" spans="1:22">
      <c r="A108" s="71" t="s">
        <v>48</v>
      </c>
      <c r="B108" s="177">
        <v>45689</v>
      </c>
      <c r="C108" s="71" t="s">
        <v>29</v>
      </c>
      <c r="D108" s="71" t="s">
        <v>30</v>
      </c>
      <c r="E108" s="71">
        <v>0.171</v>
      </c>
      <c r="F108" s="71">
        <v>13</v>
      </c>
      <c r="G108" s="71">
        <v>7.57</v>
      </c>
      <c r="H108" s="71">
        <v>0</v>
      </c>
      <c r="I108" s="71">
        <v>4.3</v>
      </c>
      <c r="J108" s="71">
        <v>83895.96</v>
      </c>
      <c r="K108" s="71">
        <v>735509.4</v>
      </c>
      <c r="L108" s="71">
        <v>78839.39</v>
      </c>
      <c r="M108" s="71">
        <v>5150</v>
      </c>
      <c r="N108" s="71">
        <v>85.8</v>
      </c>
      <c r="O108" s="71">
        <v>0</v>
      </c>
      <c r="P108" s="71">
        <v>1</v>
      </c>
      <c r="Q108" s="71">
        <v>0</v>
      </c>
      <c r="R108" s="71">
        <v>0</v>
      </c>
      <c r="S108" s="71">
        <v>1</v>
      </c>
      <c r="T108" s="71">
        <v>0</v>
      </c>
      <c r="U108">
        <v>671989.742752973</v>
      </c>
      <c r="V108">
        <v>56147.6598924355</v>
      </c>
    </row>
    <row r="109" customFormat="1" spans="1:22">
      <c r="A109" s="71" t="s">
        <v>48</v>
      </c>
      <c r="B109" s="177">
        <v>45717</v>
      </c>
      <c r="C109" s="71" t="s">
        <v>29</v>
      </c>
      <c r="D109" s="71" t="s">
        <v>30</v>
      </c>
      <c r="E109" s="71">
        <v>0.075</v>
      </c>
      <c r="F109" s="71">
        <v>15</v>
      </c>
      <c r="G109" s="71">
        <v>4.47</v>
      </c>
      <c r="H109" s="71">
        <v>0</v>
      </c>
      <c r="I109" s="71">
        <v>4.3</v>
      </c>
      <c r="J109" s="71">
        <v>107194.6</v>
      </c>
      <c r="K109" s="71">
        <v>605775.33</v>
      </c>
      <c r="L109" s="71">
        <v>38752.8</v>
      </c>
      <c r="M109" s="71">
        <v>4712</v>
      </c>
      <c r="N109" s="71">
        <v>89.7</v>
      </c>
      <c r="O109" s="71">
        <v>0</v>
      </c>
      <c r="P109" s="71">
        <v>1</v>
      </c>
      <c r="Q109" s="71">
        <v>0</v>
      </c>
      <c r="R109" s="71">
        <v>0</v>
      </c>
      <c r="S109" s="71">
        <v>1</v>
      </c>
      <c r="T109" s="71">
        <v>0</v>
      </c>
      <c r="U109">
        <v>759248.442582507</v>
      </c>
      <c r="V109">
        <v>3847.09982326534</v>
      </c>
    </row>
    <row r="110" customFormat="1" spans="1:22">
      <c r="A110" s="71" t="s">
        <v>48</v>
      </c>
      <c r="B110" s="177">
        <v>45748</v>
      </c>
      <c r="C110" s="71" t="s">
        <v>29</v>
      </c>
      <c r="D110" s="71" t="s">
        <v>30</v>
      </c>
      <c r="E110" s="71">
        <v>0.189</v>
      </c>
      <c r="F110" s="71">
        <v>11</v>
      </c>
      <c r="G110" s="71">
        <v>2.7</v>
      </c>
      <c r="H110" s="71">
        <v>0</v>
      </c>
      <c r="I110" s="71">
        <v>4.4</v>
      </c>
      <c r="J110" s="71">
        <v>105628.68</v>
      </c>
      <c r="K110" s="71">
        <v>675177.68</v>
      </c>
      <c r="L110" s="71">
        <v>55101.1</v>
      </c>
      <c r="M110" s="71">
        <v>5281</v>
      </c>
      <c r="N110" s="71">
        <v>91</v>
      </c>
      <c r="O110" s="71">
        <v>0</v>
      </c>
      <c r="P110" s="71">
        <v>1</v>
      </c>
      <c r="Q110" s="71">
        <v>0</v>
      </c>
      <c r="R110" s="71">
        <v>0</v>
      </c>
      <c r="S110" s="71">
        <v>1</v>
      </c>
      <c r="T110" s="71">
        <v>0</v>
      </c>
      <c r="U110">
        <v>722755.009738311</v>
      </c>
      <c r="V110">
        <v>148996.796650697</v>
      </c>
    </row>
    <row r="111" customFormat="1" spans="1:22">
      <c r="A111" s="71" t="s">
        <v>49</v>
      </c>
      <c r="B111" s="177">
        <v>45658</v>
      </c>
      <c r="C111" s="71" t="s">
        <v>17</v>
      </c>
      <c r="D111" s="71" t="s">
        <v>30</v>
      </c>
      <c r="E111" s="71">
        <v>0.15</v>
      </c>
      <c r="F111" s="71">
        <v>12</v>
      </c>
      <c r="G111" s="71">
        <v>0.2</v>
      </c>
      <c r="H111" s="71">
        <v>0</v>
      </c>
      <c r="I111" s="71">
        <v>4.4</v>
      </c>
      <c r="J111" s="71">
        <v>83341.25</v>
      </c>
      <c r="K111" s="71">
        <v>635181.35</v>
      </c>
      <c r="L111" s="71">
        <v>53084.76</v>
      </c>
      <c r="M111" s="71">
        <v>3642</v>
      </c>
      <c r="N111" s="71">
        <v>91.4</v>
      </c>
      <c r="O111" s="71">
        <v>0</v>
      </c>
      <c r="P111" s="71">
        <v>1</v>
      </c>
      <c r="Q111" s="71">
        <v>0</v>
      </c>
      <c r="R111" s="71">
        <v>0</v>
      </c>
      <c r="S111" s="71">
        <v>1</v>
      </c>
      <c r="T111" s="71">
        <v>0</v>
      </c>
      <c r="U111">
        <v>563794.861101382</v>
      </c>
      <c r="V111">
        <v>-18062.7417551787</v>
      </c>
    </row>
    <row r="112" customFormat="1" spans="1:22">
      <c r="A112" s="71" t="s">
        <v>49</v>
      </c>
      <c r="B112" s="177">
        <v>45689</v>
      </c>
      <c r="C112" s="71" t="s">
        <v>17</v>
      </c>
      <c r="D112" s="71" t="s">
        <v>30</v>
      </c>
      <c r="E112" s="71">
        <v>0.173</v>
      </c>
      <c r="F112" s="71">
        <v>14</v>
      </c>
      <c r="G112" s="71">
        <v>7.87</v>
      </c>
      <c r="H112" s="71">
        <v>0</v>
      </c>
      <c r="I112" s="71">
        <v>4.7</v>
      </c>
      <c r="J112" s="71">
        <v>86498.55</v>
      </c>
      <c r="K112" s="71">
        <v>586626.94</v>
      </c>
      <c r="L112" s="71">
        <v>63101.59</v>
      </c>
      <c r="M112" s="71">
        <v>4373</v>
      </c>
      <c r="N112" s="71">
        <v>90.4</v>
      </c>
      <c r="O112" s="71">
        <v>0</v>
      </c>
      <c r="P112" s="71">
        <v>0</v>
      </c>
      <c r="Q112" s="71">
        <v>1</v>
      </c>
      <c r="R112" s="71">
        <v>0</v>
      </c>
      <c r="S112" s="71">
        <v>0</v>
      </c>
      <c r="T112" s="71">
        <v>1</v>
      </c>
      <c r="U112">
        <v>619326.286532783</v>
      </c>
      <c r="V112">
        <v>71754.291198167</v>
      </c>
    </row>
    <row r="113" customFormat="1" spans="1:22">
      <c r="A113" s="71" t="s">
        <v>49</v>
      </c>
      <c r="B113" s="177">
        <v>45717</v>
      </c>
      <c r="C113" s="71" t="s">
        <v>17</v>
      </c>
      <c r="D113" s="71" t="s">
        <v>30</v>
      </c>
      <c r="E113" s="71">
        <v>0.185</v>
      </c>
      <c r="F113" s="71">
        <v>14</v>
      </c>
      <c r="G113" s="71">
        <v>0.77</v>
      </c>
      <c r="H113" s="71">
        <v>1</v>
      </c>
      <c r="I113" s="71">
        <v>4.4</v>
      </c>
      <c r="J113" s="71">
        <v>114299.07</v>
      </c>
      <c r="K113" s="71">
        <v>740102.64</v>
      </c>
      <c r="L113" s="71">
        <v>90084.4</v>
      </c>
      <c r="M113" s="71">
        <v>6832</v>
      </c>
      <c r="N113" s="71">
        <v>80.5</v>
      </c>
      <c r="O113" s="71">
        <v>0</v>
      </c>
      <c r="P113" s="71">
        <v>0</v>
      </c>
      <c r="Q113" s="71">
        <v>1</v>
      </c>
      <c r="R113" s="71">
        <v>0</v>
      </c>
      <c r="S113" s="71">
        <v>0</v>
      </c>
      <c r="T113" s="71">
        <v>1</v>
      </c>
      <c r="U113">
        <v>706910.528678411</v>
      </c>
      <c r="V113">
        <v>227331.765503145</v>
      </c>
    </row>
    <row r="114" customFormat="1" spans="1:22">
      <c r="A114" s="71" t="s">
        <v>49</v>
      </c>
      <c r="B114" s="177">
        <v>45748</v>
      </c>
      <c r="C114" s="71" t="s">
        <v>17</v>
      </c>
      <c r="D114" s="71" t="s">
        <v>30</v>
      </c>
      <c r="E114" s="71">
        <v>0.08</v>
      </c>
      <c r="F114" s="71">
        <v>7</v>
      </c>
      <c r="G114" s="71">
        <v>1.48</v>
      </c>
      <c r="H114" s="71">
        <v>0</v>
      </c>
      <c r="I114" s="71">
        <v>5</v>
      </c>
      <c r="J114" s="71">
        <v>120685.08</v>
      </c>
      <c r="K114" s="71">
        <v>625514.04</v>
      </c>
      <c r="L114" s="71">
        <v>32266.64</v>
      </c>
      <c r="M114" s="71">
        <v>2414</v>
      </c>
      <c r="N114" s="71">
        <v>92.1</v>
      </c>
      <c r="O114" s="71">
        <v>0</v>
      </c>
      <c r="P114" s="71">
        <v>0</v>
      </c>
      <c r="Q114" s="71">
        <v>1</v>
      </c>
      <c r="R114" s="71">
        <v>0</v>
      </c>
      <c r="S114" s="71">
        <v>0</v>
      </c>
      <c r="T114" s="71">
        <v>1</v>
      </c>
      <c r="U114">
        <v>781205.837605655</v>
      </c>
      <c r="V114">
        <v>185839.61334115</v>
      </c>
    </row>
    <row r="115" customFormat="1" spans="1:22">
      <c r="A115" s="71" t="s">
        <v>50</v>
      </c>
      <c r="B115" s="177">
        <v>45658</v>
      </c>
      <c r="C115" s="71" t="s">
        <v>29</v>
      </c>
      <c r="D115" s="71" t="s">
        <v>20</v>
      </c>
      <c r="E115" s="71">
        <v>0.103</v>
      </c>
      <c r="F115" s="71">
        <v>21</v>
      </c>
      <c r="G115" s="71">
        <v>2.87</v>
      </c>
      <c r="H115" s="71">
        <v>0</v>
      </c>
      <c r="I115" s="71">
        <v>2.9</v>
      </c>
      <c r="J115" s="71">
        <v>121292.01</v>
      </c>
      <c r="K115" s="71">
        <v>727227.2</v>
      </c>
      <c r="L115" s="71">
        <v>57919.07</v>
      </c>
      <c r="M115" s="71">
        <v>7374</v>
      </c>
      <c r="N115" s="71">
        <v>82.3</v>
      </c>
      <c r="O115" s="71">
        <v>0</v>
      </c>
      <c r="P115" s="71">
        <v>0</v>
      </c>
      <c r="Q115" s="71">
        <v>1</v>
      </c>
      <c r="R115" s="71">
        <v>0</v>
      </c>
      <c r="S115" s="71">
        <v>0</v>
      </c>
      <c r="T115" s="71">
        <v>1</v>
      </c>
      <c r="U115">
        <v>633354.021851821</v>
      </c>
      <c r="V115">
        <v>-14995.2018010641</v>
      </c>
    </row>
    <row r="116" customFormat="1" spans="1:22">
      <c r="A116" s="71" t="s">
        <v>50</v>
      </c>
      <c r="B116" s="177">
        <v>45689</v>
      </c>
      <c r="C116" s="71" t="s">
        <v>29</v>
      </c>
      <c r="D116" s="71" t="s">
        <v>20</v>
      </c>
      <c r="E116" s="71">
        <v>0.056</v>
      </c>
      <c r="F116" s="71">
        <v>21</v>
      </c>
      <c r="G116" s="71">
        <v>2.83</v>
      </c>
      <c r="H116" s="71">
        <v>0</v>
      </c>
      <c r="I116" s="71">
        <v>3</v>
      </c>
      <c r="J116" s="71">
        <v>157620.7</v>
      </c>
      <c r="K116" s="71">
        <v>783797.89</v>
      </c>
      <c r="L116" s="71">
        <v>74679.35</v>
      </c>
      <c r="M116" s="71">
        <v>8739</v>
      </c>
      <c r="N116" s="71">
        <v>91.8</v>
      </c>
      <c r="O116" s="71">
        <v>0</v>
      </c>
      <c r="P116" s="71">
        <v>0</v>
      </c>
      <c r="Q116" s="71">
        <v>1</v>
      </c>
      <c r="R116" s="71">
        <v>0</v>
      </c>
      <c r="S116" s="71">
        <v>1</v>
      </c>
      <c r="T116" s="71">
        <v>0</v>
      </c>
      <c r="U116">
        <v>696901.044324477</v>
      </c>
      <c r="V116">
        <v>230429.658263474</v>
      </c>
    </row>
    <row r="117" customFormat="1" spans="1:22">
      <c r="A117" s="71" t="s">
        <v>50</v>
      </c>
      <c r="B117" s="177">
        <v>45717</v>
      </c>
      <c r="C117" s="71" t="s">
        <v>29</v>
      </c>
      <c r="D117" s="71" t="s">
        <v>20</v>
      </c>
      <c r="E117" s="71">
        <v>0.133</v>
      </c>
      <c r="F117" s="71">
        <v>14</v>
      </c>
      <c r="G117" s="71">
        <v>0.25</v>
      </c>
      <c r="H117" s="71">
        <v>0</v>
      </c>
      <c r="I117" s="71">
        <v>3</v>
      </c>
      <c r="J117" s="71">
        <v>143194.21</v>
      </c>
      <c r="K117" s="71">
        <v>795153.84</v>
      </c>
      <c r="L117" s="71">
        <v>64294.23</v>
      </c>
      <c r="M117" s="71">
        <v>6992</v>
      </c>
      <c r="N117" s="71">
        <v>94.1</v>
      </c>
      <c r="O117" s="71">
        <v>0</v>
      </c>
      <c r="P117" s="71">
        <v>0</v>
      </c>
      <c r="Q117" s="71">
        <v>1</v>
      </c>
      <c r="R117" s="71">
        <v>0</v>
      </c>
      <c r="S117" s="71">
        <v>1</v>
      </c>
      <c r="T117" s="71">
        <v>0</v>
      </c>
      <c r="U117">
        <v>674032.246991647</v>
      </c>
      <c r="V117">
        <v>63519.6572470274</v>
      </c>
    </row>
    <row r="118" customFormat="1" spans="1:22">
      <c r="A118" s="71" t="s">
        <v>50</v>
      </c>
      <c r="B118" s="177">
        <v>45748</v>
      </c>
      <c r="C118" s="71" t="s">
        <v>29</v>
      </c>
      <c r="D118" s="71" t="s">
        <v>20</v>
      </c>
      <c r="E118" s="71">
        <v>0.051</v>
      </c>
      <c r="F118" s="71">
        <v>15</v>
      </c>
      <c r="G118" s="71">
        <v>13.33</v>
      </c>
      <c r="H118" s="71">
        <v>0</v>
      </c>
      <c r="I118" s="71">
        <v>3.2</v>
      </c>
      <c r="J118" s="71">
        <v>127597.34</v>
      </c>
      <c r="K118" s="71">
        <v>665594.94</v>
      </c>
      <c r="L118" s="71">
        <v>31042.03</v>
      </c>
      <c r="M118" s="71">
        <v>7107</v>
      </c>
      <c r="N118" s="71">
        <v>87</v>
      </c>
      <c r="O118" s="71">
        <v>0</v>
      </c>
      <c r="P118" s="71">
        <v>0</v>
      </c>
      <c r="Q118" s="71">
        <v>1</v>
      </c>
      <c r="R118" s="71">
        <v>0</v>
      </c>
      <c r="S118" s="71">
        <v>1</v>
      </c>
      <c r="T118" s="71">
        <v>0</v>
      </c>
      <c r="U118">
        <v>623113.386328004</v>
      </c>
      <c r="V118">
        <v>-153473.112582507</v>
      </c>
    </row>
    <row r="119" customFormat="1" spans="1:22">
      <c r="A119" s="71" t="s">
        <v>51</v>
      </c>
      <c r="B119" s="177">
        <v>45658</v>
      </c>
      <c r="C119" s="71" t="s">
        <v>17</v>
      </c>
      <c r="D119" s="71" t="s">
        <v>30</v>
      </c>
      <c r="E119" s="71">
        <v>0.157</v>
      </c>
      <c r="F119" s="71">
        <v>20</v>
      </c>
      <c r="G119" s="71">
        <v>6.35</v>
      </c>
      <c r="H119" s="71">
        <v>1</v>
      </c>
      <c r="I119" s="71">
        <v>3.8</v>
      </c>
      <c r="J119" s="71">
        <v>71294.27</v>
      </c>
      <c r="K119" s="71">
        <v>709478.39</v>
      </c>
      <c r="L119" s="71">
        <v>75265.02</v>
      </c>
      <c r="M119" s="71">
        <v>6975</v>
      </c>
      <c r="N119" s="71">
        <v>73.8</v>
      </c>
      <c r="O119" s="71">
        <v>0</v>
      </c>
      <c r="P119" s="71">
        <v>0</v>
      </c>
      <c r="Q119" s="71">
        <v>1</v>
      </c>
      <c r="R119" s="71">
        <v>0</v>
      </c>
      <c r="S119" s="71">
        <v>1</v>
      </c>
      <c r="T119" s="71">
        <v>0</v>
      </c>
      <c r="U119">
        <v>665656.90408639</v>
      </c>
      <c r="V119">
        <v>-47577.3297383114</v>
      </c>
    </row>
    <row r="120" customFormat="1" spans="1:22">
      <c r="A120" s="71" t="s">
        <v>51</v>
      </c>
      <c r="B120" s="177">
        <v>45689</v>
      </c>
      <c r="C120" s="71" t="s">
        <v>17</v>
      </c>
      <c r="D120" s="71" t="s">
        <v>30</v>
      </c>
      <c r="E120" s="71">
        <v>0.292</v>
      </c>
      <c r="F120" s="71">
        <v>13</v>
      </c>
      <c r="G120" s="71">
        <v>6.69</v>
      </c>
      <c r="H120" s="71">
        <v>0</v>
      </c>
      <c r="I120" s="71">
        <v>3.8</v>
      </c>
      <c r="J120" s="71">
        <v>98291.06</v>
      </c>
      <c r="K120" s="71">
        <v>664162.49</v>
      </c>
      <c r="L120" s="71">
        <v>69411.7</v>
      </c>
      <c r="M120" s="71">
        <v>5493</v>
      </c>
      <c r="N120" s="71">
        <v>86.5</v>
      </c>
      <c r="O120" s="71">
        <v>0</v>
      </c>
      <c r="P120" s="71">
        <v>0</v>
      </c>
      <c r="Q120" s="71">
        <v>0</v>
      </c>
      <c r="R120" s="71">
        <v>0</v>
      </c>
      <c r="S120" s="71">
        <v>1</v>
      </c>
      <c r="T120" s="71">
        <v>0</v>
      </c>
      <c r="U120">
        <v>608949.045257146</v>
      </c>
      <c r="V120">
        <v>71386.488898618</v>
      </c>
    </row>
    <row r="121" customFormat="1" spans="1:22">
      <c r="A121" s="71" t="s">
        <v>51</v>
      </c>
      <c r="B121" s="177">
        <v>45717</v>
      </c>
      <c r="C121" s="71" t="s">
        <v>17</v>
      </c>
      <c r="D121" s="71" t="s">
        <v>30</v>
      </c>
      <c r="E121" s="71">
        <v>0.089</v>
      </c>
      <c r="F121" s="71">
        <v>13</v>
      </c>
      <c r="G121" s="71">
        <v>1.28</v>
      </c>
      <c r="H121" s="71">
        <v>0</v>
      </c>
      <c r="I121" s="71">
        <v>4.2</v>
      </c>
      <c r="J121" s="71">
        <v>105739.47</v>
      </c>
      <c r="K121" s="71">
        <v>633494.21</v>
      </c>
      <c r="L121" s="71">
        <v>51056.15</v>
      </c>
      <c r="M121" s="71">
        <v>5686</v>
      </c>
      <c r="N121" s="71">
        <v>89.9</v>
      </c>
      <c r="O121" s="71">
        <v>0</v>
      </c>
      <c r="P121" s="71">
        <v>0</v>
      </c>
      <c r="Q121" s="71">
        <v>0</v>
      </c>
      <c r="R121" s="71">
        <v>0</v>
      </c>
      <c r="S121" s="71">
        <v>1</v>
      </c>
      <c r="T121" s="71">
        <v>0</v>
      </c>
      <c r="U121">
        <v>612457.610714668</v>
      </c>
      <c r="V121">
        <v>-32699.3465327834</v>
      </c>
    </row>
    <row r="122" customFormat="1" spans="1:22">
      <c r="A122" s="71" t="s">
        <v>51</v>
      </c>
      <c r="B122" s="177">
        <v>45748</v>
      </c>
      <c r="C122" s="71" t="s">
        <v>17</v>
      </c>
      <c r="D122" s="71" t="s">
        <v>30</v>
      </c>
      <c r="E122" s="71">
        <v>0.057</v>
      </c>
      <c r="F122" s="71">
        <v>12</v>
      </c>
      <c r="G122" s="71">
        <v>0.92</v>
      </c>
      <c r="H122" s="71">
        <v>0</v>
      </c>
      <c r="I122" s="71">
        <v>3.5</v>
      </c>
      <c r="J122" s="71">
        <v>129717.18</v>
      </c>
      <c r="K122" s="71">
        <v>713611.16</v>
      </c>
      <c r="L122" s="71">
        <v>52758.01</v>
      </c>
      <c r="M122" s="71">
        <v>4063</v>
      </c>
      <c r="N122" s="71">
        <v>91.7</v>
      </c>
      <c r="O122" s="71">
        <v>0</v>
      </c>
      <c r="P122" s="71">
        <v>0</v>
      </c>
      <c r="Q122" s="71">
        <v>0</v>
      </c>
      <c r="R122" s="71">
        <v>0</v>
      </c>
      <c r="S122" s="71">
        <v>1</v>
      </c>
      <c r="T122" s="71">
        <v>0</v>
      </c>
      <c r="U122">
        <v>698467.548250482</v>
      </c>
      <c r="V122">
        <v>33192.1113215885</v>
      </c>
    </row>
    <row r="123" customFormat="1" spans="1:22">
      <c r="A123" s="71" t="s">
        <v>52</v>
      </c>
      <c r="B123" s="177">
        <v>45658</v>
      </c>
      <c r="C123" s="71" t="s">
        <v>29</v>
      </c>
      <c r="D123" s="71" t="s">
        <v>30</v>
      </c>
      <c r="E123" s="71">
        <v>0.173</v>
      </c>
      <c r="F123" s="71">
        <v>22</v>
      </c>
      <c r="G123" s="71">
        <v>1.05</v>
      </c>
      <c r="H123" s="71">
        <v>0</v>
      </c>
      <c r="I123" s="71">
        <v>3.1</v>
      </c>
      <c r="J123" s="71">
        <v>120044.41</v>
      </c>
      <c r="K123" s="71">
        <v>778397.97</v>
      </c>
      <c r="L123" s="71">
        <v>61426.04</v>
      </c>
      <c r="M123" s="71">
        <v>8966</v>
      </c>
      <c r="N123" s="71">
        <v>76.4</v>
      </c>
      <c r="O123" s="71">
        <v>0</v>
      </c>
      <c r="P123" s="71">
        <v>0</v>
      </c>
      <c r="Q123" s="71">
        <v>0</v>
      </c>
      <c r="R123" s="71">
        <v>0</v>
      </c>
      <c r="S123" s="71">
        <v>1</v>
      </c>
      <c r="T123" s="71">
        <v>0</v>
      </c>
      <c r="U123">
        <v>514517.439138881</v>
      </c>
      <c r="V123">
        <v>-155691.797605655</v>
      </c>
    </row>
    <row r="124" customFormat="1" spans="1:22">
      <c r="A124" s="71" t="s">
        <v>52</v>
      </c>
      <c r="B124" s="177">
        <v>45689</v>
      </c>
      <c r="C124" s="71" t="s">
        <v>29</v>
      </c>
      <c r="D124" s="71" t="s">
        <v>30</v>
      </c>
      <c r="E124" s="71">
        <v>0.142</v>
      </c>
      <c r="F124" s="71">
        <v>22</v>
      </c>
      <c r="G124" s="71">
        <v>2.67</v>
      </c>
      <c r="H124" s="71">
        <v>0</v>
      </c>
      <c r="I124" s="71">
        <v>3.5</v>
      </c>
      <c r="J124" s="71">
        <v>149734.76</v>
      </c>
      <c r="K124" s="71">
        <v>873380.02</v>
      </c>
      <c r="L124" s="71">
        <v>80176.34</v>
      </c>
      <c r="M124" s="71">
        <v>9489</v>
      </c>
      <c r="N124" s="71">
        <v>94.3</v>
      </c>
      <c r="O124" s="71">
        <v>0</v>
      </c>
      <c r="P124" s="71">
        <v>0</v>
      </c>
      <c r="Q124" s="71">
        <v>1</v>
      </c>
      <c r="R124" s="71">
        <v>1</v>
      </c>
      <c r="S124" s="71">
        <v>0</v>
      </c>
      <c r="T124" s="71">
        <v>0</v>
      </c>
      <c r="U124">
        <v>683925.928246062</v>
      </c>
      <c r="V124">
        <v>93873.1781481792</v>
      </c>
    </row>
    <row r="125" customFormat="1" spans="1:22">
      <c r="A125" s="71" t="s">
        <v>52</v>
      </c>
      <c r="B125" s="177">
        <v>45717</v>
      </c>
      <c r="C125" s="71" t="s">
        <v>29</v>
      </c>
      <c r="D125" s="71" t="s">
        <v>30</v>
      </c>
      <c r="E125" s="71">
        <v>0.159</v>
      </c>
      <c r="F125" s="71">
        <v>23</v>
      </c>
      <c r="G125" s="71">
        <v>5.91</v>
      </c>
      <c r="H125" s="71">
        <v>0</v>
      </c>
      <c r="I125" s="71">
        <v>2.8</v>
      </c>
      <c r="J125" s="71">
        <v>128208.33</v>
      </c>
      <c r="K125" s="71">
        <v>697287.9</v>
      </c>
      <c r="L125" s="71">
        <v>33605.18</v>
      </c>
      <c r="M125" s="71">
        <v>9225</v>
      </c>
      <c r="N125" s="71">
        <v>88.4</v>
      </c>
      <c r="O125" s="71">
        <v>0</v>
      </c>
      <c r="P125" s="71">
        <v>0</v>
      </c>
      <c r="Q125" s="71">
        <v>1</v>
      </c>
      <c r="R125" s="71">
        <v>1</v>
      </c>
      <c r="S125" s="71">
        <v>0</v>
      </c>
      <c r="T125" s="71">
        <v>0</v>
      </c>
      <c r="U125">
        <v>807065.727162189</v>
      </c>
      <c r="V125">
        <v>86896.8456755232</v>
      </c>
    </row>
    <row r="126" customFormat="1" spans="1:22">
      <c r="A126" s="71" t="s">
        <v>52</v>
      </c>
      <c r="B126" s="177">
        <v>45748</v>
      </c>
      <c r="C126" s="71" t="s">
        <v>29</v>
      </c>
      <c r="D126" s="71" t="s">
        <v>30</v>
      </c>
      <c r="E126" s="71">
        <v>0.139</v>
      </c>
      <c r="F126" s="71">
        <v>23</v>
      </c>
      <c r="G126" s="71">
        <v>6.37</v>
      </c>
      <c r="H126" s="71">
        <v>0</v>
      </c>
      <c r="I126" s="71">
        <v>3.3</v>
      </c>
      <c r="J126" s="71">
        <v>115819.87</v>
      </c>
      <c r="K126" s="71">
        <v>718074.79</v>
      </c>
      <c r="L126" s="71">
        <v>25990.54</v>
      </c>
      <c r="M126" s="71">
        <v>9249</v>
      </c>
      <c r="N126" s="71">
        <v>92.5</v>
      </c>
      <c r="O126" s="71">
        <v>0</v>
      </c>
      <c r="P126" s="71">
        <v>0</v>
      </c>
      <c r="Q126" s="71">
        <v>1</v>
      </c>
      <c r="R126" s="71">
        <v>1</v>
      </c>
      <c r="S126" s="71">
        <v>0</v>
      </c>
      <c r="T126" s="71">
        <v>0</v>
      </c>
      <c r="U126">
        <v>742382.31647618</v>
      </c>
      <c r="V126">
        <v>121121.593008353</v>
      </c>
    </row>
    <row r="127" customFormat="1" spans="1:22">
      <c r="A127" s="71" t="s">
        <v>53</v>
      </c>
      <c r="B127" s="177">
        <v>45658</v>
      </c>
      <c r="C127" s="71" t="s">
        <v>29</v>
      </c>
      <c r="D127" s="71" t="s">
        <v>18</v>
      </c>
      <c r="E127" s="71">
        <v>0.19</v>
      </c>
      <c r="F127" s="71">
        <v>17</v>
      </c>
      <c r="G127" s="71">
        <v>2.49</v>
      </c>
      <c r="H127" s="71">
        <v>1</v>
      </c>
      <c r="I127" s="71">
        <v>4.7</v>
      </c>
      <c r="J127" s="71">
        <v>94697.71</v>
      </c>
      <c r="K127" s="71">
        <v>714942.43</v>
      </c>
      <c r="L127" s="71">
        <v>43685.14</v>
      </c>
      <c r="M127" s="71">
        <v>7821</v>
      </c>
      <c r="N127" s="71">
        <v>91</v>
      </c>
      <c r="O127" s="71">
        <v>0</v>
      </c>
      <c r="P127" s="71">
        <v>0</v>
      </c>
      <c r="Q127" s="71">
        <v>1</v>
      </c>
      <c r="R127" s="71">
        <v>1</v>
      </c>
      <c r="S127" s="71">
        <v>0</v>
      </c>
      <c r="T127" s="71">
        <v>0</v>
      </c>
      <c r="U127">
        <v>685735.656986429</v>
      </c>
      <c r="V127">
        <v>42481.553671996</v>
      </c>
    </row>
    <row r="128" customFormat="1" spans="1:22">
      <c r="A128" s="71" t="s">
        <v>53</v>
      </c>
      <c r="B128" s="177">
        <v>45689</v>
      </c>
      <c r="C128" s="71" t="s">
        <v>29</v>
      </c>
      <c r="D128" s="71" t="s">
        <v>18</v>
      </c>
      <c r="E128" s="71">
        <v>0.151</v>
      </c>
      <c r="F128" s="71">
        <v>19</v>
      </c>
      <c r="G128" s="71">
        <v>1.56</v>
      </c>
      <c r="H128" s="71">
        <v>0</v>
      </c>
      <c r="I128" s="71">
        <v>4.7</v>
      </c>
      <c r="J128" s="71">
        <v>99035.88</v>
      </c>
      <c r="K128" s="71">
        <v>820519.04</v>
      </c>
      <c r="L128" s="71">
        <v>57360.01</v>
      </c>
      <c r="M128" s="71">
        <v>8434</v>
      </c>
      <c r="N128" s="71">
        <v>84.1</v>
      </c>
      <c r="O128" s="71">
        <v>0</v>
      </c>
      <c r="P128" s="71">
        <v>0</v>
      </c>
      <c r="Q128" s="71">
        <v>0</v>
      </c>
      <c r="R128" s="71">
        <v>0</v>
      </c>
      <c r="S128" s="71">
        <v>1</v>
      </c>
      <c r="T128" s="71">
        <v>0</v>
      </c>
      <c r="U128">
        <v>694730.131111534</v>
      </c>
      <c r="V128">
        <v>43821.4859136096</v>
      </c>
    </row>
    <row r="129" customFormat="1" spans="1:22">
      <c r="A129" s="71" t="s">
        <v>53</v>
      </c>
      <c r="B129" s="177">
        <v>45717</v>
      </c>
      <c r="C129" s="71" t="s">
        <v>29</v>
      </c>
      <c r="D129" s="71" t="s">
        <v>18</v>
      </c>
      <c r="E129" s="71">
        <v>0.133</v>
      </c>
      <c r="F129" s="71">
        <v>18</v>
      </c>
      <c r="G129" s="71">
        <v>14.95</v>
      </c>
      <c r="H129" s="71">
        <v>0</v>
      </c>
      <c r="I129" s="71">
        <v>4.6</v>
      </c>
      <c r="J129" s="71">
        <v>136217.19</v>
      </c>
      <c r="K129" s="71">
        <v>684217.32</v>
      </c>
      <c r="L129" s="71">
        <v>42415.47</v>
      </c>
      <c r="M129" s="71">
        <v>8512</v>
      </c>
      <c r="N129" s="71">
        <v>96.8</v>
      </c>
      <c r="O129" s="71">
        <v>0</v>
      </c>
      <c r="P129" s="71">
        <v>0</v>
      </c>
      <c r="Q129" s="71">
        <v>0</v>
      </c>
      <c r="R129" s="71">
        <v>0</v>
      </c>
      <c r="S129" s="71">
        <v>1</v>
      </c>
      <c r="T129" s="71">
        <v>0</v>
      </c>
      <c r="U129">
        <v>656267.368673493</v>
      </c>
      <c r="V129">
        <v>55213.4447428542</v>
      </c>
    </row>
    <row r="130" customFormat="1" spans="1:22">
      <c r="A130" s="71" t="s">
        <v>53</v>
      </c>
      <c r="B130" s="177">
        <v>45748</v>
      </c>
      <c r="C130" s="71" t="s">
        <v>29</v>
      </c>
      <c r="D130" s="71" t="s">
        <v>18</v>
      </c>
      <c r="E130" s="71">
        <v>0.232</v>
      </c>
      <c r="F130" s="71">
        <v>19</v>
      </c>
      <c r="G130" s="71">
        <v>7.85</v>
      </c>
      <c r="H130" s="71">
        <v>0</v>
      </c>
      <c r="I130" s="71">
        <v>4.7</v>
      </c>
      <c r="J130" s="71">
        <v>88342.11</v>
      </c>
      <c r="K130" s="71">
        <v>735480.19</v>
      </c>
      <c r="L130" s="71">
        <v>54968.98</v>
      </c>
      <c r="M130" s="71">
        <v>7816</v>
      </c>
      <c r="N130" s="71">
        <v>95.7</v>
      </c>
      <c r="O130" s="71">
        <v>0</v>
      </c>
      <c r="P130" s="71">
        <v>0</v>
      </c>
      <c r="Q130" s="71">
        <v>0</v>
      </c>
      <c r="R130" s="71">
        <v>0</v>
      </c>
      <c r="S130" s="71">
        <v>1</v>
      </c>
      <c r="T130" s="71">
        <v>0</v>
      </c>
      <c r="U130">
        <v>651057.668906413</v>
      </c>
      <c r="V130">
        <v>21036.5992853316</v>
      </c>
    </row>
    <row r="131" customFormat="1" spans="1:22">
      <c r="A131" s="71" t="s">
        <v>54</v>
      </c>
      <c r="B131" s="177">
        <v>45658</v>
      </c>
      <c r="C131" s="71" t="s">
        <v>22</v>
      </c>
      <c r="D131" s="71" t="s">
        <v>20</v>
      </c>
      <c r="E131" s="71">
        <v>0.088</v>
      </c>
      <c r="F131" s="71">
        <v>13</v>
      </c>
      <c r="G131" s="71">
        <v>6.8</v>
      </c>
      <c r="H131" s="71">
        <v>0</v>
      </c>
      <c r="I131" s="71">
        <v>4.4</v>
      </c>
      <c r="J131" s="71">
        <v>85742.36</v>
      </c>
      <c r="K131" s="71">
        <v>509484.81</v>
      </c>
      <c r="L131" s="71">
        <v>43896.13</v>
      </c>
      <c r="M131" s="71">
        <v>3853</v>
      </c>
      <c r="N131" s="71">
        <v>83</v>
      </c>
      <c r="O131" s="71">
        <v>0</v>
      </c>
      <c r="P131" s="71">
        <v>0</v>
      </c>
      <c r="Q131" s="71">
        <v>0</v>
      </c>
      <c r="R131" s="71">
        <v>0</v>
      </c>
      <c r="S131" s="71">
        <v>1</v>
      </c>
      <c r="T131" s="71">
        <v>0</v>
      </c>
      <c r="U131">
        <v>603455.898536889</v>
      </c>
      <c r="V131">
        <v>15143.6117495181</v>
      </c>
    </row>
    <row r="132" customFormat="1" spans="1:22">
      <c r="A132" s="71" t="s">
        <v>54</v>
      </c>
      <c r="B132" s="177">
        <v>45689</v>
      </c>
      <c r="C132" s="71" t="s">
        <v>22</v>
      </c>
      <c r="D132" s="71" t="s">
        <v>20</v>
      </c>
      <c r="E132" s="71">
        <v>0</v>
      </c>
      <c r="F132" s="71">
        <v>14</v>
      </c>
      <c r="G132" s="71">
        <v>2.2</v>
      </c>
      <c r="H132" s="71">
        <v>0</v>
      </c>
      <c r="I132" s="71">
        <v>3.7</v>
      </c>
      <c r="J132" s="71">
        <v>121446.89</v>
      </c>
      <c r="K132" s="71">
        <v>654317.09</v>
      </c>
      <c r="L132" s="71">
        <v>83044.17</v>
      </c>
      <c r="M132" s="71">
        <v>3694</v>
      </c>
      <c r="N132" s="71">
        <v>89.4</v>
      </c>
      <c r="O132" s="71">
        <v>0</v>
      </c>
      <c r="P132" s="71">
        <v>0</v>
      </c>
      <c r="Q132" s="71">
        <v>1</v>
      </c>
      <c r="R132" s="71">
        <v>0</v>
      </c>
      <c r="S132" s="71">
        <v>1</v>
      </c>
      <c r="T132" s="71">
        <v>0</v>
      </c>
      <c r="U132">
        <v>734463.842902588</v>
      </c>
      <c r="V132">
        <v>263880.530861119</v>
      </c>
    </row>
    <row r="133" customFormat="1" spans="1:22">
      <c r="A133" s="71" t="s">
        <v>54</v>
      </c>
      <c r="B133" s="177">
        <v>45717</v>
      </c>
      <c r="C133" s="71" t="s">
        <v>22</v>
      </c>
      <c r="D133" s="71" t="s">
        <v>20</v>
      </c>
      <c r="E133" s="71">
        <v>0.069</v>
      </c>
      <c r="F133" s="71">
        <v>15</v>
      </c>
      <c r="G133" s="71">
        <v>1.88</v>
      </c>
      <c r="H133" s="71">
        <v>0</v>
      </c>
      <c r="I133" s="71">
        <v>3.9</v>
      </c>
      <c r="J133" s="71">
        <v>76432.19</v>
      </c>
      <c r="K133" s="71">
        <v>557487.26</v>
      </c>
      <c r="L133" s="71">
        <v>48396.13</v>
      </c>
      <c r="M133" s="71">
        <v>4423</v>
      </c>
      <c r="N133" s="71">
        <v>85.7</v>
      </c>
      <c r="O133" s="71">
        <v>0</v>
      </c>
      <c r="P133" s="71">
        <v>0</v>
      </c>
      <c r="Q133" s="71">
        <v>1</v>
      </c>
      <c r="R133" s="71">
        <v>0</v>
      </c>
      <c r="S133" s="71">
        <v>1</v>
      </c>
      <c r="T133" s="71">
        <v>0</v>
      </c>
      <c r="U133">
        <v>834100.768257245</v>
      </c>
      <c r="V133">
        <v>189454.091753938</v>
      </c>
    </row>
    <row r="134" customFormat="1" spans="1:22">
      <c r="A134" s="71" t="s">
        <v>54</v>
      </c>
      <c r="B134" s="177">
        <v>45748</v>
      </c>
      <c r="C134" s="71" t="s">
        <v>22</v>
      </c>
      <c r="D134" s="71" t="s">
        <v>20</v>
      </c>
      <c r="E134" s="71">
        <v>0.216</v>
      </c>
      <c r="F134" s="71">
        <v>10</v>
      </c>
      <c r="G134" s="71">
        <v>15.79</v>
      </c>
      <c r="H134" s="71">
        <v>0</v>
      </c>
      <c r="I134" s="71">
        <v>4.4</v>
      </c>
      <c r="J134" s="71">
        <v>58234.87</v>
      </c>
      <c r="K134" s="71">
        <v>441275.42</v>
      </c>
      <c r="L134" s="71">
        <v>19063.48</v>
      </c>
      <c r="M134" s="71">
        <v>1906</v>
      </c>
      <c r="N134" s="71">
        <v>97.8</v>
      </c>
      <c r="O134" s="71">
        <v>0</v>
      </c>
      <c r="P134" s="71">
        <v>0</v>
      </c>
      <c r="Q134" s="71">
        <v>1</v>
      </c>
      <c r="R134" s="71">
        <v>0</v>
      </c>
      <c r="S134" s="71">
        <v>1</v>
      </c>
      <c r="T134" s="71">
        <v>0</v>
      </c>
      <c r="U134">
        <v>752347.072370107</v>
      </c>
      <c r="V134">
        <v>-109777.827162189</v>
      </c>
    </row>
    <row r="135" customFormat="1" spans="1:22">
      <c r="A135" s="71" t="s">
        <v>55</v>
      </c>
      <c r="B135" s="177">
        <v>45658</v>
      </c>
      <c r="C135" s="71" t="s">
        <v>26</v>
      </c>
      <c r="D135" s="71" t="s">
        <v>20</v>
      </c>
      <c r="E135" s="71">
        <v>0.123</v>
      </c>
      <c r="F135" s="71">
        <v>25</v>
      </c>
      <c r="G135" s="71">
        <v>2.34</v>
      </c>
      <c r="H135" s="71">
        <v>1</v>
      </c>
      <c r="I135" s="71">
        <v>4.8</v>
      </c>
      <c r="J135" s="71">
        <v>79831.73</v>
      </c>
      <c r="K135" s="71">
        <v>914544.17</v>
      </c>
      <c r="L135" s="71">
        <v>61541.21</v>
      </c>
      <c r="M135" s="71">
        <v>10396</v>
      </c>
      <c r="N135" s="71">
        <v>88.1</v>
      </c>
      <c r="O135" s="71">
        <v>0</v>
      </c>
      <c r="P135" s="71">
        <v>0</v>
      </c>
      <c r="Q135" s="71">
        <v>1</v>
      </c>
      <c r="R135" s="71">
        <v>0</v>
      </c>
      <c r="S135" s="71">
        <v>1</v>
      </c>
      <c r="T135" s="71">
        <v>0</v>
      </c>
      <c r="U135">
        <v>756251.999510806</v>
      </c>
      <c r="V135">
        <v>-24307.5264761795</v>
      </c>
    </row>
    <row r="136" customFormat="1" spans="1:22">
      <c r="A136" s="71" t="s">
        <v>55</v>
      </c>
      <c r="B136" s="177">
        <v>45689</v>
      </c>
      <c r="C136" s="71" t="s">
        <v>26</v>
      </c>
      <c r="D136" s="71" t="s">
        <v>20</v>
      </c>
      <c r="E136" s="71">
        <v>0.176</v>
      </c>
      <c r="F136" s="71">
        <v>27</v>
      </c>
      <c r="G136" s="71">
        <v>0.54</v>
      </c>
      <c r="H136" s="71">
        <v>0</v>
      </c>
      <c r="I136" s="71">
        <v>4.4</v>
      </c>
      <c r="J136" s="71">
        <v>169983.63</v>
      </c>
      <c r="K136" s="71">
        <v>842439.67</v>
      </c>
      <c r="L136" s="71">
        <v>44747</v>
      </c>
      <c r="M136" s="71">
        <v>11076</v>
      </c>
      <c r="N136" s="71">
        <v>98.3</v>
      </c>
      <c r="O136" s="71">
        <v>0</v>
      </c>
      <c r="P136" s="71">
        <v>0</v>
      </c>
      <c r="Q136" s="71">
        <v>1</v>
      </c>
      <c r="R136" s="71">
        <v>0</v>
      </c>
      <c r="S136" s="71">
        <v>0</v>
      </c>
      <c r="T136" s="71">
        <v>1</v>
      </c>
      <c r="U136">
        <v>724485.799334029</v>
      </c>
      <c r="V136">
        <v>29206.7730135715</v>
      </c>
    </row>
    <row r="137" customFormat="1" spans="1:22">
      <c r="A137" s="71" t="s">
        <v>55</v>
      </c>
      <c r="B137" s="177">
        <v>45717</v>
      </c>
      <c r="C137" s="71" t="s">
        <v>26</v>
      </c>
      <c r="D137" s="71" t="s">
        <v>20</v>
      </c>
      <c r="E137" s="71">
        <v>0.204</v>
      </c>
      <c r="F137" s="71">
        <v>20</v>
      </c>
      <c r="G137" s="71">
        <v>5.37</v>
      </c>
      <c r="H137" s="71">
        <v>1</v>
      </c>
      <c r="I137" s="71">
        <v>4.9</v>
      </c>
      <c r="J137" s="71">
        <v>107348.22</v>
      </c>
      <c r="K137" s="71">
        <v>842157.92</v>
      </c>
      <c r="L137" s="71">
        <v>56517.9</v>
      </c>
      <c r="M137" s="71">
        <v>9574</v>
      </c>
      <c r="N137" s="71">
        <v>88.2</v>
      </c>
      <c r="O137" s="71">
        <v>0</v>
      </c>
      <c r="P137" s="71">
        <v>0</v>
      </c>
      <c r="Q137" s="71">
        <v>1</v>
      </c>
      <c r="R137" s="71">
        <v>0</v>
      </c>
      <c r="S137" s="71">
        <v>0</v>
      </c>
      <c r="T137" s="71">
        <v>1</v>
      </c>
      <c r="U137">
        <v>734420.307296939</v>
      </c>
      <c r="V137">
        <v>125788.908888466</v>
      </c>
    </row>
    <row r="138" customFormat="1" spans="1:22">
      <c r="A138" s="71" t="s">
        <v>55</v>
      </c>
      <c r="B138" s="177">
        <v>45748</v>
      </c>
      <c r="C138" s="71" t="s">
        <v>26</v>
      </c>
      <c r="D138" s="71" t="s">
        <v>20</v>
      </c>
      <c r="E138" s="71">
        <v>0.096</v>
      </c>
      <c r="F138" s="71">
        <v>19</v>
      </c>
      <c r="G138" s="71">
        <v>3.19</v>
      </c>
      <c r="H138" s="71">
        <v>0</v>
      </c>
      <c r="I138" s="71">
        <v>4.8</v>
      </c>
      <c r="J138" s="71">
        <v>136408.54</v>
      </c>
      <c r="K138" s="71">
        <v>697155.3</v>
      </c>
      <c r="L138" s="71">
        <v>37828.5</v>
      </c>
      <c r="M138" s="71">
        <v>8221</v>
      </c>
      <c r="N138" s="71">
        <v>81.5</v>
      </c>
      <c r="O138" s="71">
        <v>0</v>
      </c>
      <c r="P138" s="71">
        <v>0</v>
      </c>
      <c r="Q138" s="71">
        <v>1</v>
      </c>
      <c r="R138" s="71">
        <v>0</v>
      </c>
      <c r="S138" s="71">
        <v>0</v>
      </c>
      <c r="T138" s="71">
        <v>1</v>
      </c>
      <c r="U138">
        <v>756910.046917644</v>
      </c>
      <c r="V138">
        <v>27949.9513265066</v>
      </c>
    </row>
    <row r="139" customFormat="1" spans="1:22">
      <c r="A139" s="71" t="s">
        <v>56</v>
      </c>
      <c r="B139" s="177">
        <v>45658</v>
      </c>
      <c r="C139" s="71" t="s">
        <v>17</v>
      </c>
      <c r="D139" s="71" t="s">
        <v>20</v>
      </c>
      <c r="E139" s="71">
        <v>0.142</v>
      </c>
      <c r="F139" s="71">
        <v>27</v>
      </c>
      <c r="G139" s="71">
        <v>1.1</v>
      </c>
      <c r="H139" s="71">
        <v>1</v>
      </c>
      <c r="I139" s="71">
        <v>4.4</v>
      </c>
      <c r="J139" s="71">
        <v>149035.13</v>
      </c>
      <c r="K139" s="71">
        <v>849018.3</v>
      </c>
      <c r="L139" s="71">
        <v>66250.53</v>
      </c>
      <c r="M139" s="71">
        <v>10618</v>
      </c>
      <c r="N139" s="71">
        <v>88.3</v>
      </c>
      <c r="O139" s="71">
        <v>0</v>
      </c>
      <c r="P139" s="71">
        <v>0</v>
      </c>
      <c r="Q139" s="71">
        <v>1</v>
      </c>
      <c r="R139" s="71">
        <v>0</v>
      </c>
      <c r="S139" s="71">
        <v>0</v>
      </c>
      <c r="T139" s="71">
        <v>1</v>
      </c>
      <c r="U139">
        <v>745004.282872476</v>
      </c>
      <c r="V139">
        <v>84422.5210935867</v>
      </c>
    </row>
    <row r="140" customFormat="1" spans="1:22">
      <c r="A140" s="71" t="s">
        <v>56</v>
      </c>
      <c r="B140" s="177">
        <v>45689</v>
      </c>
      <c r="C140" s="71" t="s">
        <v>17</v>
      </c>
      <c r="D140" s="71" t="s">
        <v>20</v>
      </c>
      <c r="E140" s="71">
        <v>0.207</v>
      </c>
      <c r="F140" s="71">
        <v>25</v>
      </c>
      <c r="G140" s="71">
        <v>0.21</v>
      </c>
      <c r="H140" s="71">
        <v>0</v>
      </c>
      <c r="I140" s="71">
        <v>4</v>
      </c>
      <c r="J140" s="71">
        <v>114875.32</v>
      </c>
      <c r="K140" s="71">
        <v>801830.35</v>
      </c>
      <c r="L140" s="71">
        <v>68410.93</v>
      </c>
      <c r="M140" s="71">
        <v>10596</v>
      </c>
      <c r="N140" s="71">
        <v>81.2</v>
      </c>
      <c r="O140" s="71">
        <v>1</v>
      </c>
      <c r="P140" s="71">
        <v>0</v>
      </c>
      <c r="Q140" s="71">
        <v>0</v>
      </c>
      <c r="R140" s="71">
        <v>1</v>
      </c>
      <c r="S140" s="71">
        <v>0</v>
      </c>
      <c r="T140" s="71">
        <v>0</v>
      </c>
      <c r="U140">
        <v>560051.197605034</v>
      </c>
      <c r="V140">
        <v>-93971.0885368895</v>
      </c>
    </row>
    <row r="141" customFormat="1" spans="1:22">
      <c r="A141" s="71" t="s">
        <v>56</v>
      </c>
      <c r="B141" s="177">
        <v>45717</v>
      </c>
      <c r="C141" s="71" t="s">
        <v>17</v>
      </c>
      <c r="D141" s="71" t="s">
        <v>20</v>
      </c>
      <c r="E141" s="71">
        <v>0.144</v>
      </c>
      <c r="F141" s="71">
        <v>19</v>
      </c>
      <c r="G141" s="71">
        <v>5.12</v>
      </c>
      <c r="H141" s="71">
        <v>1</v>
      </c>
      <c r="I141" s="71">
        <v>4.5</v>
      </c>
      <c r="J141" s="71">
        <v>121632.24</v>
      </c>
      <c r="K141" s="71">
        <v>725235.28</v>
      </c>
      <c r="L141" s="71">
        <v>50735.63</v>
      </c>
      <c r="M141" s="71">
        <v>9619</v>
      </c>
      <c r="N141" s="71">
        <v>93.8</v>
      </c>
      <c r="O141" s="71">
        <v>1</v>
      </c>
      <c r="P141" s="71">
        <v>0</v>
      </c>
      <c r="Q141" s="71">
        <v>0</v>
      </c>
      <c r="R141" s="71">
        <v>1</v>
      </c>
      <c r="S141" s="71">
        <v>0</v>
      </c>
      <c r="T141" s="71">
        <v>0</v>
      </c>
      <c r="U141">
        <v>639076.321718632</v>
      </c>
      <c r="V141">
        <v>-80146.7529025882</v>
      </c>
    </row>
    <row r="142" customFormat="1" spans="1:22">
      <c r="A142" s="71" t="s">
        <v>56</v>
      </c>
      <c r="B142" s="177">
        <v>45748</v>
      </c>
      <c r="C142" s="71" t="s">
        <v>17</v>
      </c>
      <c r="D142" s="71" t="s">
        <v>20</v>
      </c>
      <c r="E142" s="71">
        <v>0.089</v>
      </c>
      <c r="F142" s="71">
        <v>25</v>
      </c>
      <c r="G142" s="71">
        <v>9.77</v>
      </c>
      <c r="H142" s="71">
        <v>0</v>
      </c>
      <c r="I142" s="71">
        <v>4.5</v>
      </c>
      <c r="J142" s="71">
        <v>131325.67</v>
      </c>
      <c r="K142" s="71">
        <v>811452.72</v>
      </c>
      <c r="L142" s="71">
        <v>66455.8</v>
      </c>
      <c r="M142" s="71">
        <v>10836</v>
      </c>
      <c r="N142" s="71">
        <v>85</v>
      </c>
      <c r="O142" s="71">
        <v>1</v>
      </c>
      <c r="P142" s="71">
        <v>0</v>
      </c>
      <c r="Q142" s="71">
        <v>0</v>
      </c>
      <c r="R142" s="71">
        <v>1</v>
      </c>
      <c r="S142" s="71">
        <v>0</v>
      </c>
      <c r="T142" s="71">
        <v>0</v>
      </c>
      <c r="U142">
        <v>611629.150002534</v>
      </c>
      <c r="V142">
        <v>-276613.508257245</v>
      </c>
    </row>
    <row r="143" customFormat="1" spans="1:22">
      <c r="A143" s="71" t="s">
        <v>57</v>
      </c>
      <c r="B143" s="177">
        <v>45658</v>
      </c>
      <c r="C143" s="71" t="s">
        <v>22</v>
      </c>
      <c r="D143" s="71" t="s">
        <v>20</v>
      </c>
      <c r="E143" s="71">
        <v>0.079</v>
      </c>
      <c r="F143" s="71">
        <v>9</v>
      </c>
      <c r="G143" s="71">
        <v>3.77</v>
      </c>
      <c r="H143" s="71">
        <v>0</v>
      </c>
      <c r="I143" s="71">
        <v>4.4</v>
      </c>
      <c r="J143" s="71">
        <v>84197.87</v>
      </c>
      <c r="K143" s="71">
        <v>527300.13</v>
      </c>
      <c r="L143" s="71">
        <v>70276.28</v>
      </c>
      <c r="M143" s="71">
        <v>3043</v>
      </c>
      <c r="N143" s="71">
        <v>87.9</v>
      </c>
      <c r="O143" s="71">
        <v>1</v>
      </c>
      <c r="P143" s="71">
        <v>0</v>
      </c>
      <c r="Q143" s="71">
        <v>0</v>
      </c>
      <c r="R143" s="71">
        <v>1</v>
      </c>
      <c r="S143" s="71">
        <v>0</v>
      </c>
      <c r="T143" s="71">
        <v>0</v>
      </c>
      <c r="U143">
        <v>527377.687680423</v>
      </c>
      <c r="V143">
        <v>-311071.652370107</v>
      </c>
    </row>
    <row r="144" customFormat="1" spans="1:22">
      <c r="A144" s="71" t="s">
        <v>57</v>
      </c>
      <c r="B144" s="177">
        <v>45689</v>
      </c>
      <c r="C144" s="71" t="s">
        <v>22</v>
      </c>
      <c r="D144" s="71" t="s">
        <v>20</v>
      </c>
      <c r="E144" s="71">
        <v>0.196</v>
      </c>
      <c r="F144" s="71">
        <v>8</v>
      </c>
      <c r="G144" s="71">
        <v>0.78</v>
      </c>
      <c r="H144" s="71">
        <v>0</v>
      </c>
      <c r="I144" s="71">
        <v>3.95</v>
      </c>
      <c r="J144" s="71">
        <v>70979.31</v>
      </c>
      <c r="K144" s="71">
        <v>400831.65</v>
      </c>
      <c r="L144" s="71">
        <v>22071.64</v>
      </c>
      <c r="M144" s="71">
        <v>1814</v>
      </c>
      <c r="N144" s="71">
        <v>81.1</v>
      </c>
      <c r="O144" s="71">
        <v>0</v>
      </c>
      <c r="P144" s="71">
        <v>1</v>
      </c>
      <c r="Q144" s="71">
        <v>0</v>
      </c>
      <c r="R144" s="71">
        <v>1</v>
      </c>
      <c r="S144" s="71">
        <v>0</v>
      </c>
      <c r="T144" s="71">
        <v>0</v>
      </c>
      <c r="U144">
        <v>836601.922630665</v>
      </c>
      <c r="V144">
        <v>158292.170489194</v>
      </c>
    </row>
    <row r="145" customFormat="1" spans="1:22">
      <c r="A145" s="71" t="s">
        <v>57</v>
      </c>
      <c r="B145" s="177">
        <v>45717</v>
      </c>
      <c r="C145" s="71" t="s">
        <v>22</v>
      </c>
      <c r="D145" s="71" t="s">
        <v>20</v>
      </c>
      <c r="E145" s="71">
        <v>0.086</v>
      </c>
      <c r="F145" s="71">
        <v>11</v>
      </c>
      <c r="G145" s="71">
        <v>5.17</v>
      </c>
      <c r="H145" s="71">
        <v>1</v>
      </c>
      <c r="I145" s="71">
        <v>4.4</v>
      </c>
      <c r="J145" s="71">
        <v>81240.29</v>
      </c>
      <c r="K145" s="71">
        <v>593247.25</v>
      </c>
      <c r="L145" s="71">
        <v>52285.45</v>
      </c>
      <c r="M145" s="71">
        <v>3618</v>
      </c>
      <c r="N145" s="71">
        <v>95.6</v>
      </c>
      <c r="O145" s="71">
        <v>0</v>
      </c>
      <c r="P145" s="71">
        <v>1</v>
      </c>
      <c r="Q145" s="71">
        <v>0</v>
      </c>
      <c r="R145" s="71">
        <v>1</v>
      </c>
      <c r="S145" s="71">
        <v>0</v>
      </c>
      <c r="T145" s="71">
        <v>0</v>
      </c>
      <c r="U145">
        <v>841002.151917625</v>
      </c>
      <c r="V145">
        <v>117953.870665971</v>
      </c>
    </row>
    <row r="146" customFormat="1" spans="1:22">
      <c r="A146" s="71" t="s">
        <v>57</v>
      </c>
      <c r="B146" s="177">
        <v>45748</v>
      </c>
      <c r="C146" s="71" t="s">
        <v>22</v>
      </c>
      <c r="D146" s="71" t="s">
        <v>20</v>
      </c>
      <c r="E146" s="71">
        <v>0.182</v>
      </c>
      <c r="F146" s="71">
        <v>8</v>
      </c>
      <c r="G146" s="71">
        <v>3.2</v>
      </c>
      <c r="H146" s="71">
        <v>0</v>
      </c>
      <c r="I146" s="71">
        <v>4.6</v>
      </c>
      <c r="J146" s="71">
        <v>95978.83</v>
      </c>
      <c r="K146" s="71">
        <v>529075.95</v>
      </c>
      <c r="L146" s="71">
        <v>70366.76</v>
      </c>
      <c r="M146" s="71">
        <v>1963</v>
      </c>
      <c r="N146" s="71">
        <v>89.8</v>
      </c>
      <c r="O146" s="71">
        <v>0</v>
      </c>
      <c r="P146" s="71">
        <v>1</v>
      </c>
      <c r="Q146" s="71">
        <v>0</v>
      </c>
      <c r="R146" s="71">
        <v>1</v>
      </c>
      <c r="S146" s="71">
        <v>0</v>
      </c>
      <c r="T146" s="71">
        <v>0</v>
      </c>
      <c r="U146">
        <v>774223.922009654</v>
      </c>
      <c r="V146">
        <v>107737.612703061</v>
      </c>
    </row>
    <row r="147" customFormat="1" spans="1:22">
      <c r="A147" s="71" t="s">
        <v>58</v>
      </c>
      <c r="B147" s="177">
        <v>45658</v>
      </c>
      <c r="C147" s="71" t="s">
        <v>26</v>
      </c>
      <c r="D147" s="71" t="s">
        <v>18</v>
      </c>
      <c r="E147" s="71">
        <v>0.048</v>
      </c>
      <c r="F147" s="71">
        <v>20</v>
      </c>
      <c r="G147" s="71">
        <v>3.4</v>
      </c>
      <c r="H147" s="71">
        <v>0</v>
      </c>
      <c r="I147" s="71">
        <v>3.95</v>
      </c>
      <c r="J147" s="71">
        <v>99402.01</v>
      </c>
      <c r="K147" s="71">
        <v>633638.03</v>
      </c>
      <c r="L147" s="71">
        <v>71320.66</v>
      </c>
      <c r="M147" s="71">
        <v>7888</v>
      </c>
      <c r="N147" s="71">
        <v>78.1</v>
      </c>
      <c r="O147" s="71">
        <v>0</v>
      </c>
      <c r="P147" s="71">
        <v>1</v>
      </c>
      <c r="Q147" s="71">
        <v>0</v>
      </c>
      <c r="R147" s="71">
        <v>1</v>
      </c>
      <c r="S147" s="71">
        <v>0</v>
      </c>
      <c r="T147" s="71">
        <v>0</v>
      </c>
      <c r="U147">
        <v>686361.384609457</v>
      </c>
      <c r="V147">
        <v>-59754.7469176437</v>
      </c>
    </row>
    <row r="148" customFormat="1" spans="1:22">
      <c r="A148" s="71" t="s">
        <v>58</v>
      </c>
      <c r="B148" s="177">
        <v>45689</v>
      </c>
      <c r="C148" s="71" t="s">
        <v>26</v>
      </c>
      <c r="D148" s="71" t="s">
        <v>18</v>
      </c>
      <c r="E148" s="71">
        <v>0.079</v>
      </c>
      <c r="F148" s="71">
        <v>15</v>
      </c>
      <c r="G148" s="71">
        <v>7.38</v>
      </c>
      <c r="H148" s="71">
        <v>0</v>
      </c>
      <c r="I148" s="71">
        <v>3.7</v>
      </c>
      <c r="J148" s="71">
        <v>104186.09</v>
      </c>
      <c r="K148" s="71">
        <v>743348.84</v>
      </c>
      <c r="L148" s="71">
        <v>75109.67</v>
      </c>
      <c r="M148" s="71">
        <v>6244</v>
      </c>
      <c r="N148" s="71">
        <v>96.3</v>
      </c>
      <c r="O148" s="71">
        <v>0</v>
      </c>
      <c r="P148" s="71">
        <v>0</v>
      </c>
      <c r="Q148" s="71">
        <v>0</v>
      </c>
      <c r="R148" s="71">
        <v>1</v>
      </c>
      <c r="S148" s="71">
        <v>0</v>
      </c>
      <c r="T148" s="71">
        <v>0</v>
      </c>
      <c r="U148">
        <v>821435.542067186</v>
      </c>
      <c r="V148">
        <v>104014.017127524</v>
      </c>
    </row>
    <row r="149" customFormat="1" spans="1:22">
      <c r="A149" s="71" t="s">
        <v>58</v>
      </c>
      <c r="B149" s="177">
        <v>45717</v>
      </c>
      <c r="C149" s="71" t="s">
        <v>26</v>
      </c>
      <c r="D149" s="71" t="s">
        <v>18</v>
      </c>
      <c r="E149" s="71">
        <v>0.152</v>
      </c>
      <c r="F149" s="71">
        <v>18</v>
      </c>
      <c r="G149" s="71">
        <v>0.85</v>
      </c>
      <c r="H149" s="71">
        <v>1</v>
      </c>
      <c r="I149" s="71">
        <v>3.3</v>
      </c>
      <c r="J149" s="71">
        <v>161439.48</v>
      </c>
      <c r="K149" s="71">
        <v>758827.64</v>
      </c>
      <c r="L149" s="71">
        <v>69779</v>
      </c>
      <c r="M149" s="71">
        <v>6544</v>
      </c>
      <c r="N149" s="71">
        <v>90.2</v>
      </c>
      <c r="O149" s="71">
        <v>0</v>
      </c>
      <c r="P149" s="71">
        <v>0</v>
      </c>
      <c r="Q149" s="71">
        <v>0</v>
      </c>
      <c r="R149" s="71">
        <v>1</v>
      </c>
      <c r="S149" s="71">
        <v>0</v>
      </c>
      <c r="T149" s="71">
        <v>0</v>
      </c>
      <c r="U149">
        <v>808233.130967888</v>
      </c>
      <c r="V149">
        <v>241779.152394966</v>
      </c>
    </row>
    <row r="150" customFormat="1" spans="1:22">
      <c r="A150" s="71" t="s">
        <v>58</v>
      </c>
      <c r="B150" s="177">
        <v>45748</v>
      </c>
      <c r="C150" s="71" t="s">
        <v>26</v>
      </c>
      <c r="D150" s="71" t="s">
        <v>18</v>
      </c>
      <c r="E150" s="71">
        <v>0.187</v>
      </c>
      <c r="F150" s="71">
        <v>12</v>
      </c>
      <c r="G150" s="71">
        <v>2.89</v>
      </c>
      <c r="H150" s="71">
        <v>0</v>
      </c>
      <c r="I150" s="71">
        <v>3.6</v>
      </c>
      <c r="J150" s="71">
        <v>97981.75</v>
      </c>
      <c r="K150" s="71">
        <v>646559.71</v>
      </c>
      <c r="L150" s="71">
        <v>44211.95</v>
      </c>
      <c r="M150" s="71">
        <v>5465</v>
      </c>
      <c r="N150" s="71">
        <v>90</v>
      </c>
      <c r="O150" s="71">
        <v>0</v>
      </c>
      <c r="P150" s="71">
        <v>0</v>
      </c>
      <c r="Q150" s="71">
        <v>0</v>
      </c>
      <c r="R150" s="71">
        <v>1</v>
      </c>
      <c r="S150" s="71">
        <v>0</v>
      </c>
      <c r="T150" s="71">
        <v>0</v>
      </c>
      <c r="U150">
        <v>791459.520503097</v>
      </c>
      <c r="V150">
        <v>86158.9582813678</v>
      </c>
    </row>
    <row r="151" customFormat="1" spans="1:22">
      <c r="A151" s="71" t="s">
        <v>59</v>
      </c>
      <c r="B151" s="177">
        <v>45658</v>
      </c>
      <c r="C151" s="71" t="s">
        <v>29</v>
      </c>
      <c r="D151" s="71" t="s">
        <v>20</v>
      </c>
      <c r="E151" s="71">
        <v>0.234</v>
      </c>
      <c r="F151" s="71">
        <v>14</v>
      </c>
      <c r="G151" s="71">
        <v>0.77</v>
      </c>
      <c r="H151" s="71">
        <v>0</v>
      </c>
      <c r="I151" s="71">
        <v>4.1</v>
      </c>
      <c r="J151" s="71">
        <v>109032.15</v>
      </c>
      <c r="K151" s="71">
        <v>715890.53</v>
      </c>
      <c r="L151" s="71">
        <v>51430.31</v>
      </c>
      <c r="M151" s="71">
        <v>6427</v>
      </c>
      <c r="N151" s="71">
        <v>88.8</v>
      </c>
      <c r="O151" s="71">
        <v>0</v>
      </c>
      <c r="P151" s="71">
        <v>0</v>
      </c>
      <c r="Q151" s="71">
        <v>0</v>
      </c>
      <c r="R151" s="71">
        <v>1</v>
      </c>
      <c r="S151" s="71">
        <v>0</v>
      </c>
      <c r="T151" s="71">
        <v>0</v>
      </c>
      <c r="U151">
        <v>825288.920239729</v>
      </c>
      <c r="V151">
        <v>199823.569997466</v>
      </c>
    </row>
    <row r="152" customFormat="1" spans="1:22">
      <c r="A152" s="71" t="s">
        <v>59</v>
      </c>
      <c r="B152" s="177">
        <v>45689</v>
      </c>
      <c r="C152" s="71" t="s">
        <v>29</v>
      </c>
      <c r="D152" s="71" t="s">
        <v>20</v>
      </c>
      <c r="E152" s="71">
        <v>0.038</v>
      </c>
      <c r="F152" s="71">
        <v>15</v>
      </c>
      <c r="G152" s="71">
        <v>2.92</v>
      </c>
      <c r="H152" s="71">
        <v>0</v>
      </c>
      <c r="I152" s="71">
        <v>4.2</v>
      </c>
      <c r="J152" s="71">
        <v>151875.86</v>
      </c>
      <c r="K152" s="71">
        <v>715097.57</v>
      </c>
      <c r="L152" s="71">
        <v>45706.49</v>
      </c>
      <c r="M152" s="71">
        <v>6704</v>
      </c>
      <c r="N152" s="71">
        <v>94.2</v>
      </c>
      <c r="O152" s="71">
        <v>1</v>
      </c>
      <c r="P152" s="71">
        <v>0</v>
      </c>
      <c r="Q152" s="71">
        <v>0</v>
      </c>
      <c r="R152" s="71">
        <v>1</v>
      </c>
      <c r="S152" s="71">
        <v>0</v>
      </c>
      <c r="T152" s="71">
        <v>0</v>
      </c>
      <c r="U152">
        <v>574547.180671627</v>
      </c>
      <c r="V152">
        <v>-77.5576804233715</v>
      </c>
    </row>
    <row r="153" customFormat="1" spans="1:22">
      <c r="A153" s="71" t="s">
        <v>59</v>
      </c>
      <c r="B153" s="177">
        <v>45717</v>
      </c>
      <c r="C153" s="71" t="s">
        <v>29</v>
      </c>
      <c r="D153" s="71" t="s">
        <v>20</v>
      </c>
      <c r="E153" s="71">
        <v>0.069</v>
      </c>
      <c r="F153" s="71">
        <v>18</v>
      </c>
      <c r="G153" s="71">
        <v>3.07</v>
      </c>
      <c r="H153" s="71">
        <v>0</v>
      </c>
      <c r="I153" s="71">
        <v>3.8</v>
      </c>
      <c r="J153" s="71">
        <v>77557.53</v>
      </c>
      <c r="K153" s="71">
        <v>682639.28</v>
      </c>
      <c r="L153" s="71">
        <v>44034.6</v>
      </c>
      <c r="M153" s="71">
        <v>5645</v>
      </c>
      <c r="N153" s="71">
        <v>88.5</v>
      </c>
      <c r="O153" s="71">
        <v>1</v>
      </c>
      <c r="P153" s="71">
        <v>0</v>
      </c>
      <c r="Q153" s="71">
        <v>0</v>
      </c>
      <c r="R153" s="71">
        <v>1</v>
      </c>
      <c r="S153" s="71">
        <v>0</v>
      </c>
      <c r="T153" s="71">
        <v>0</v>
      </c>
      <c r="U153">
        <v>467402.144667656</v>
      </c>
      <c r="V153">
        <v>-435770.272630665</v>
      </c>
    </row>
    <row r="154" customFormat="1" spans="1:22">
      <c r="A154" s="71" t="s">
        <v>59</v>
      </c>
      <c r="B154" s="177">
        <v>45748</v>
      </c>
      <c r="C154" s="71" t="s">
        <v>29</v>
      </c>
      <c r="D154" s="71" t="s">
        <v>20</v>
      </c>
      <c r="E154" s="71">
        <v>0.182</v>
      </c>
      <c r="F154" s="71">
        <v>19</v>
      </c>
      <c r="G154" s="71">
        <v>9.7</v>
      </c>
      <c r="H154" s="71">
        <v>0</v>
      </c>
      <c r="I154" s="71">
        <v>3.9</v>
      </c>
      <c r="J154" s="71">
        <v>108192.75</v>
      </c>
      <c r="K154" s="71">
        <v>695098.51</v>
      </c>
      <c r="L154" s="71">
        <v>50198.12</v>
      </c>
      <c r="M154" s="71">
        <v>6089</v>
      </c>
      <c r="N154" s="71">
        <v>94</v>
      </c>
      <c r="O154" s="71">
        <v>1</v>
      </c>
      <c r="P154" s="71">
        <v>0</v>
      </c>
      <c r="Q154" s="71">
        <v>0</v>
      </c>
      <c r="R154" s="71">
        <v>1</v>
      </c>
      <c r="S154" s="71">
        <v>0</v>
      </c>
      <c r="T154" s="71">
        <v>0</v>
      </c>
      <c r="U154">
        <v>607328.493042775</v>
      </c>
      <c r="V154">
        <v>-247754.901917625</v>
      </c>
    </row>
    <row r="155" customFormat="1" spans="1:22">
      <c r="A155" s="71" t="s">
        <v>60</v>
      </c>
      <c r="B155" s="177">
        <v>45658</v>
      </c>
      <c r="C155" s="71" t="s">
        <v>22</v>
      </c>
      <c r="D155" s="71" t="s">
        <v>18</v>
      </c>
      <c r="E155" s="71">
        <v>0.169</v>
      </c>
      <c r="F155" s="71">
        <v>12</v>
      </c>
      <c r="G155" s="71">
        <v>3.71</v>
      </c>
      <c r="H155" s="71">
        <v>0</v>
      </c>
      <c r="I155" s="71">
        <v>3.2</v>
      </c>
      <c r="J155" s="71">
        <v>93804.27</v>
      </c>
      <c r="K155" s="71">
        <v>577732.57</v>
      </c>
      <c r="L155" s="71">
        <v>70488.2</v>
      </c>
      <c r="M155" s="71">
        <v>4312</v>
      </c>
      <c r="N155" s="71">
        <v>90.2</v>
      </c>
      <c r="O155" s="71">
        <v>1</v>
      </c>
      <c r="P155" s="71">
        <v>0</v>
      </c>
      <c r="Q155" s="71">
        <v>0</v>
      </c>
      <c r="R155" s="71">
        <v>1</v>
      </c>
      <c r="S155" s="71">
        <v>0</v>
      </c>
      <c r="T155" s="71">
        <v>0</v>
      </c>
      <c r="U155">
        <v>555602.201455596</v>
      </c>
      <c r="V155">
        <v>-245147.972009654</v>
      </c>
    </row>
    <row r="156" customFormat="1" spans="1:22">
      <c r="A156" s="71" t="s">
        <v>60</v>
      </c>
      <c r="B156" s="177">
        <v>45689</v>
      </c>
      <c r="C156" s="71" t="s">
        <v>22</v>
      </c>
      <c r="D156" s="71" t="s">
        <v>18</v>
      </c>
      <c r="E156" s="71">
        <v>0.06</v>
      </c>
      <c r="F156" s="71">
        <v>13</v>
      </c>
      <c r="G156" s="71">
        <v>10.79</v>
      </c>
      <c r="H156" s="71">
        <v>0</v>
      </c>
      <c r="I156" s="71">
        <v>3.5</v>
      </c>
      <c r="J156" s="71">
        <v>93555.71</v>
      </c>
      <c r="K156" s="71">
        <v>537058.33</v>
      </c>
      <c r="L156" s="71">
        <v>50909.27</v>
      </c>
      <c r="M156" s="71">
        <v>3152</v>
      </c>
      <c r="N156" s="71">
        <v>93.7</v>
      </c>
      <c r="O156" s="71">
        <v>0</v>
      </c>
      <c r="P156" s="71">
        <v>1</v>
      </c>
      <c r="Q156" s="71">
        <v>0</v>
      </c>
      <c r="R156" s="71">
        <v>0</v>
      </c>
      <c r="S156" s="71">
        <v>0</v>
      </c>
      <c r="T156" s="71">
        <v>1</v>
      </c>
      <c r="U156">
        <v>722708.30122017</v>
      </c>
      <c r="V156">
        <v>-52723.3546094574</v>
      </c>
    </row>
    <row r="157" customFormat="1" spans="1:22">
      <c r="A157" s="71" t="s">
        <v>60</v>
      </c>
      <c r="B157" s="177">
        <v>45717</v>
      </c>
      <c r="C157" s="71" t="s">
        <v>22</v>
      </c>
      <c r="D157" s="71" t="s">
        <v>18</v>
      </c>
      <c r="E157" s="71">
        <v>0.156</v>
      </c>
      <c r="F157" s="71">
        <v>15</v>
      </c>
      <c r="G157" s="71">
        <v>6.03</v>
      </c>
      <c r="H157" s="71">
        <v>0</v>
      </c>
      <c r="I157" s="71">
        <v>3.4</v>
      </c>
      <c r="J157" s="71">
        <v>91634.82</v>
      </c>
      <c r="K157" s="71">
        <v>601568.87</v>
      </c>
      <c r="L157" s="71">
        <v>53351.7</v>
      </c>
      <c r="M157" s="71">
        <v>4259</v>
      </c>
      <c r="N157" s="71">
        <v>93.7</v>
      </c>
      <c r="O157" s="71">
        <v>0</v>
      </c>
      <c r="P157" s="71">
        <v>1</v>
      </c>
      <c r="Q157" s="71">
        <v>0</v>
      </c>
      <c r="R157" s="71">
        <v>0</v>
      </c>
      <c r="S157" s="71">
        <v>0</v>
      </c>
      <c r="T157" s="71">
        <v>1</v>
      </c>
      <c r="U157">
        <v>705192.381479085</v>
      </c>
      <c r="V157">
        <v>-78086.702067186</v>
      </c>
    </row>
    <row r="158" customFormat="1" spans="1:22">
      <c r="A158" s="71" t="s">
        <v>60</v>
      </c>
      <c r="B158" s="177">
        <v>45748</v>
      </c>
      <c r="C158" s="71" t="s">
        <v>22</v>
      </c>
      <c r="D158" s="71" t="s">
        <v>18</v>
      </c>
      <c r="E158" s="71">
        <v>0.108</v>
      </c>
      <c r="F158" s="71">
        <v>12</v>
      </c>
      <c r="G158" s="71">
        <v>4.92</v>
      </c>
      <c r="H158" s="71">
        <v>0</v>
      </c>
      <c r="I158" s="71">
        <v>3.4</v>
      </c>
      <c r="J158" s="71">
        <v>81331.07</v>
      </c>
      <c r="K158" s="71">
        <v>570964.84</v>
      </c>
      <c r="L158" s="71">
        <v>60322.4</v>
      </c>
      <c r="M158" s="71">
        <v>3350</v>
      </c>
      <c r="N158" s="71">
        <v>89.4</v>
      </c>
      <c r="O158" s="71">
        <v>0</v>
      </c>
      <c r="P158" s="71">
        <v>1</v>
      </c>
      <c r="Q158" s="71">
        <v>0</v>
      </c>
      <c r="R158" s="71">
        <v>0</v>
      </c>
      <c r="S158" s="71">
        <v>0</v>
      </c>
      <c r="T158" s="71">
        <v>1</v>
      </c>
      <c r="U158">
        <v>690951.830320505</v>
      </c>
      <c r="V158">
        <v>-49405.4909678883</v>
      </c>
    </row>
    <row r="159" customFormat="1" spans="1:22">
      <c r="A159" s="71" t="s">
        <v>61</v>
      </c>
      <c r="B159" s="177">
        <v>45658</v>
      </c>
      <c r="C159" s="71" t="s">
        <v>26</v>
      </c>
      <c r="D159" s="71" t="s">
        <v>30</v>
      </c>
      <c r="E159" s="71">
        <v>0.047</v>
      </c>
      <c r="F159" s="71">
        <v>17</v>
      </c>
      <c r="G159" s="71">
        <v>19.78</v>
      </c>
      <c r="H159" s="71">
        <v>0</v>
      </c>
      <c r="I159" s="71">
        <v>3.8</v>
      </c>
      <c r="J159" s="71">
        <v>84828.93</v>
      </c>
      <c r="K159" s="71">
        <v>614024.91</v>
      </c>
      <c r="L159" s="71">
        <v>51575.68</v>
      </c>
      <c r="M159" s="71">
        <v>5329</v>
      </c>
      <c r="N159" s="71">
        <v>88.1</v>
      </c>
      <c r="O159" s="71">
        <v>0</v>
      </c>
      <c r="P159" s="71">
        <v>1</v>
      </c>
      <c r="Q159" s="71">
        <v>0</v>
      </c>
      <c r="R159" s="71">
        <v>0</v>
      </c>
      <c r="S159" s="71">
        <v>0</v>
      </c>
      <c r="T159" s="71">
        <v>1</v>
      </c>
      <c r="U159">
        <v>623442.030775662</v>
      </c>
      <c r="V159">
        <v>-144899.810503097</v>
      </c>
    </row>
    <row r="160" customFormat="1" spans="1:22">
      <c r="A160" s="71" t="s">
        <v>61</v>
      </c>
      <c r="B160" s="177">
        <v>45689</v>
      </c>
      <c r="C160" s="71" t="s">
        <v>26</v>
      </c>
      <c r="D160" s="71" t="s">
        <v>30</v>
      </c>
      <c r="E160" s="71">
        <v>0.044</v>
      </c>
      <c r="F160" s="71">
        <v>13</v>
      </c>
      <c r="G160" s="71">
        <v>5.45</v>
      </c>
      <c r="H160" s="71">
        <v>0</v>
      </c>
      <c r="I160" s="71">
        <v>4.1</v>
      </c>
      <c r="J160" s="71">
        <v>133650.51</v>
      </c>
      <c r="K160" s="71">
        <v>712868.35</v>
      </c>
      <c r="L160" s="71">
        <v>43319.94</v>
      </c>
      <c r="M160" s="71">
        <v>6551</v>
      </c>
      <c r="N160" s="71">
        <v>99</v>
      </c>
      <c r="O160" s="71">
        <v>0</v>
      </c>
      <c r="P160" s="71">
        <v>0</v>
      </c>
      <c r="Q160" s="71">
        <v>1</v>
      </c>
      <c r="R160" s="71">
        <v>1</v>
      </c>
      <c r="S160" s="71">
        <v>0</v>
      </c>
      <c r="T160" s="71">
        <v>0</v>
      </c>
      <c r="U160">
        <v>661039.641576796</v>
      </c>
      <c r="V160">
        <v>-109398.390239729</v>
      </c>
    </row>
    <row r="161" customFormat="1" spans="1:22">
      <c r="A161" s="71" t="s">
        <v>61</v>
      </c>
      <c r="B161" s="177">
        <v>45717</v>
      </c>
      <c r="C161" s="71" t="s">
        <v>26</v>
      </c>
      <c r="D161" s="71" t="s">
        <v>30</v>
      </c>
      <c r="E161" s="71">
        <v>0.1</v>
      </c>
      <c r="F161" s="71">
        <v>12</v>
      </c>
      <c r="G161" s="71">
        <v>2.33</v>
      </c>
      <c r="H161" s="71">
        <v>1</v>
      </c>
      <c r="I161" s="71">
        <v>3.7</v>
      </c>
      <c r="J161" s="71">
        <v>152230.09</v>
      </c>
      <c r="K161" s="71">
        <v>696744.15</v>
      </c>
      <c r="L161" s="71">
        <v>47093.55</v>
      </c>
      <c r="M161" s="71">
        <v>5550</v>
      </c>
      <c r="N161" s="71">
        <v>95</v>
      </c>
      <c r="O161" s="71">
        <v>0</v>
      </c>
      <c r="P161" s="71">
        <v>0</v>
      </c>
      <c r="Q161" s="71">
        <v>1</v>
      </c>
      <c r="R161" s="71">
        <v>1</v>
      </c>
      <c r="S161" s="71">
        <v>0</v>
      </c>
      <c r="T161" s="71">
        <v>0</v>
      </c>
      <c r="U161">
        <v>687966.255515588</v>
      </c>
      <c r="V161">
        <v>140550.389328373</v>
      </c>
    </row>
    <row r="162" customFormat="1" spans="1:22">
      <c r="A162" s="71" t="s">
        <v>61</v>
      </c>
      <c r="B162" s="177">
        <v>45748</v>
      </c>
      <c r="C162" s="71" t="s">
        <v>26</v>
      </c>
      <c r="D162" s="71" t="s">
        <v>30</v>
      </c>
      <c r="E162" s="71">
        <v>0.197</v>
      </c>
      <c r="F162" s="71">
        <v>15</v>
      </c>
      <c r="G162" s="71">
        <v>3.55</v>
      </c>
      <c r="H162" s="71">
        <v>0</v>
      </c>
      <c r="I162" s="71">
        <v>4.1</v>
      </c>
      <c r="J162" s="71">
        <v>122698.73</v>
      </c>
      <c r="K162" s="71">
        <v>725847.99</v>
      </c>
      <c r="L162" s="71">
        <v>71855.09</v>
      </c>
      <c r="M162" s="71">
        <v>5911</v>
      </c>
      <c r="N162" s="71">
        <v>94.3</v>
      </c>
      <c r="O162" s="71">
        <v>0</v>
      </c>
      <c r="P162" s="71">
        <v>0</v>
      </c>
      <c r="Q162" s="71">
        <v>1</v>
      </c>
      <c r="R162" s="71">
        <v>1</v>
      </c>
      <c r="S162" s="71">
        <v>0</v>
      </c>
      <c r="T162" s="71">
        <v>0</v>
      </c>
      <c r="U162">
        <v>633242.667148543</v>
      </c>
      <c r="V162">
        <v>215237.135332344</v>
      </c>
    </row>
    <row r="163" customFormat="1" spans="1:22">
      <c r="A163" s="71" t="s">
        <v>62</v>
      </c>
      <c r="B163" s="177">
        <v>45658</v>
      </c>
      <c r="C163" s="71" t="s">
        <v>17</v>
      </c>
      <c r="D163" s="71" t="s">
        <v>20</v>
      </c>
      <c r="E163" s="71">
        <v>0.234</v>
      </c>
      <c r="F163" s="71">
        <v>21</v>
      </c>
      <c r="G163" s="71">
        <v>0.2</v>
      </c>
      <c r="H163" s="71">
        <v>0</v>
      </c>
      <c r="I163" s="71">
        <v>4.5</v>
      </c>
      <c r="J163" s="71">
        <v>110726.44</v>
      </c>
      <c r="K163" s="71">
        <v>785028.25</v>
      </c>
      <c r="L163" s="71">
        <v>75645.23</v>
      </c>
      <c r="M163" s="71">
        <v>9674</v>
      </c>
      <c r="N163" s="71">
        <v>87.4</v>
      </c>
      <c r="O163" s="71">
        <v>0</v>
      </c>
      <c r="P163" s="71">
        <v>0</v>
      </c>
      <c r="Q163" s="71">
        <v>1</v>
      </c>
      <c r="R163" s="71">
        <v>1</v>
      </c>
      <c r="S163" s="71">
        <v>0</v>
      </c>
      <c r="T163" s="71">
        <v>0</v>
      </c>
      <c r="U163">
        <v>671887.880669705</v>
      </c>
      <c r="V163">
        <v>87770.0169572253</v>
      </c>
    </row>
    <row r="164" customFormat="1" spans="1:22">
      <c r="A164" s="71" t="s">
        <v>62</v>
      </c>
      <c r="B164" s="177">
        <v>45689</v>
      </c>
      <c r="C164" s="71" t="s">
        <v>17</v>
      </c>
      <c r="D164" s="71" t="s">
        <v>20</v>
      </c>
      <c r="E164" s="71">
        <v>0.169</v>
      </c>
      <c r="F164" s="71">
        <v>18</v>
      </c>
      <c r="G164" s="71">
        <v>2.09</v>
      </c>
      <c r="H164" s="71">
        <v>0</v>
      </c>
      <c r="I164" s="71">
        <v>4.2</v>
      </c>
      <c r="J164" s="71">
        <v>117319.32</v>
      </c>
      <c r="K164" s="71">
        <v>698492.67</v>
      </c>
      <c r="L164" s="71">
        <v>64374.75</v>
      </c>
      <c r="M164" s="71">
        <v>6740</v>
      </c>
      <c r="N164" s="71">
        <v>87</v>
      </c>
      <c r="O164" s="71">
        <v>1</v>
      </c>
      <c r="P164" s="71">
        <v>0</v>
      </c>
      <c r="Q164" s="71">
        <v>0</v>
      </c>
      <c r="R164" s="71">
        <v>0</v>
      </c>
      <c r="S164" s="71">
        <v>0</v>
      </c>
      <c r="T164" s="71">
        <v>1</v>
      </c>
      <c r="U164">
        <v>624578.042596111</v>
      </c>
      <c r="V164">
        <v>22130.3685444042</v>
      </c>
    </row>
    <row r="165" customFormat="1" spans="1:22">
      <c r="A165" s="71" t="s">
        <v>62</v>
      </c>
      <c r="B165" s="177">
        <v>45717</v>
      </c>
      <c r="C165" s="71" t="s">
        <v>17</v>
      </c>
      <c r="D165" s="71" t="s">
        <v>20</v>
      </c>
      <c r="E165" s="71">
        <v>0.18</v>
      </c>
      <c r="F165" s="71">
        <v>16</v>
      </c>
      <c r="G165" s="71">
        <v>2.26</v>
      </c>
      <c r="H165" s="71">
        <v>0</v>
      </c>
      <c r="I165" s="71">
        <v>4.2</v>
      </c>
      <c r="J165" s="71">
        <v>128736.18</v>
      </c>
      <c r="K165" s="71">
        <v>685830.24</v>
      </c>
      <c r="L165" s="71">
        <v>61433.84</v>
      </c>
      <c r="M165" s="71">
        <v>7745</v>
      </c>
      <c r="N165" s="71">
        <v>90.5</v>
      </c>
      <c r="O165" s="71">
        <v>1</v>
      </c>
      <c r="P165" s="71">
        <v>0</v>
      </c>
      <c r="Q165" s="71">
        <v>0</v>
      </c>
      <c r="R165" s="71">
        <v>0</v>
      </c>
      <c r="S165" s="71">
        <v>0</v>
      </c>
      <c r="T165" s="71">
        <v>1</v>
      </c>
      <c r="U165">
        <v>567711.527504823</v>
      </c>
      <c r="V165">
        <v>-185649.97122017</v>
      </c>
    </row>
    <row r="166" customFormat="1" spans="1:22">
      <c r="A166" s="71" t="s">
        <v>62</v>
      </c>
      <c r="B166" s="177">
        <v>45748</v>
      </c>
      <c r="C166" s="71" t="s">
        <v>17</v>
      </c>
      <c r="D166" s="71" t="s">
        <v>20</v>
      </c>
      <c r="E166" s="71">
        <v>0.187</v>
      </c>
      <c r="F166" s="71">
        <v>19</v>
      </c>
      <c r="G166" s="71">
        <v>0.44</v>
      </c>
      <c r="H166" s="71">
        <v>0</v>
      </c>
      <c r="I166" s="71">
        <v>4.4</v>
      </c>
      <c r="J166" s="71">
        <v>112829.29</v>
      </c>
      <c r="K166" s="71">
        <v>702318.94</v>
      </c>
      <c r="L166" s="71">
        <v>42698.14</v>
      </c>
      <c r="M166" s="71">
        <v>7693</v>
      </c>
      <c r="N166" s="71">
        <v>90.1</v>
      </c>
      <c r="O166" s="71">
        <v>1</v>
      </c>
      <c r="P166" s="71">
        <v>0</v>
      </c>
      <c r="Q166" s="71">
        <v>0</v>
      </c>
      <c r="R166" s="71">
        <v>0</v>
      </c>
      <c r="S166" s="71">
        <v>0</v>
      </c>
      <c r="T166" s="71">
        <v>1</v>
      </c>
      <c r="U166">
        <v>608096.821549434</v>
      </c>
      <c r="V166">
        <v>-103623.511479085</v>
      </c>
    </row>
    <row r="167" customFormat="1" spans="1:22">
      <c r="A167" s="71" t="s">
        <v>63</v>
      </c>
      <c r="B167" s="177">
        <v>45658</v>
      </c>
      <c r="C167" s="71" t="s">
        <v>22</v>
      </c>
      <c r="D167" s="71" t="s">
        <v>30</v>
      </c>
      <c r="E167" s="71">
        <v>0.057</v>
      </c>
      <c r="F167" s="71">
        <v>19</v>
      </c>
      <c r="G167" s="71">
        <v>3.08</v>
      </c>
      <c r="H167" s="71">
        <v>0</v>
      </c>
      <c r="I167" s="71">
        <v>3.9</v>
      </c>
      <c r="J167" s="71">
        <v>123707.58</v>
      </c>
      <c r="K167" s="71">
        <v>700078.32</v>
      </c>
      <c r="L167" s="71">
        <v>86883.31</v>
      </c>
      <c r="M167" s="71">
        <v>6424</v>
      </c>
      <c r="N167" s="71">
        <v>85.2</v>
      </c>
      <c r="O167" s="71">
        <v>1</v>
      </c>
      <c r="P167" s="71">
        <v>0</v>
      </c>
      <c r="Q167" s="71">
        <v>0</v>
      </c>
      <c r="R167" s="71">
        <v>0</v>
      </c>
      <c r="S167" s="71">
        <v>0</v>
      </c>
      <c r="T167" s="71">
        <v>1</v>
      </c>
      <c r="U167">
        <v>572868.474606092</v>
      </c>
      <c r="V167">
        <v>-119986.990320505</v>
      </c>
    </row>
    <row r="168" customFormat="1" spans="1:22">
      <c r="A168" s="71" t="s">
        <v>63</v>
      </c>
      <c r="B168" s="177">
        <v>45689</v>
      </c>
      <c r="C168" s="71" t="s">
        <v>22</v>
      </c>
      <c r="D168" s="71" t="s">
        <v>30</v>
      </c>
      <c r="E168" s="71">
        <v>0.114</v>
      </c>
      <c r="F168" s="71">
        <v>11</v>
      </c>
      <c r="G168" s="71">
        <v>7.99</v>
      </c>
      <c r="H168" s="71">
        <v>0</v>
      </c>
      <c r="I168" s="71">
        <v>3</v>
      </c>
      <c r="J168" s="71">
        <v>110453.28</v>
      </c>
      <c r="K168" s="71">
        <v>602002.32</v>
      </c>
      <c r="L168" s="71">
        <v>41863.08</v>
      </c>
      <c r="M168" s="71">
        <v>5400</v>
      </c>
      <c r="N168" s="71">
        <v>91.6</v>
      </c>
      <c r="O168" s="71">
        <v>0</v>
      </c>
      <c r="P168" s="71">
        <v>1</v>
      </c>
      <c r="Q168" s="71">
        <v>0</v>
      </c>
      <c r="R168" s="71">
        <v>0</v>
      </c>
      <c r="S168" s="71">
        <v>1</v>
      </c>
      <c r="T168" s="71">
        <v>0</v>
      </c>
      <c r="U168">
        <v>625633.158282394</v>
      </c>
      <c r="V168">
        <v>-9417.12077566213</v>
      </c>
    </row>
    <row r="169" customFormat="1" spans="1:22">
      <c r="A169" s="71" t="s">
        <v>63</v>
      </c>
      <c r="B169" s="177">
        <v>45717</v>
      </c>
      <c r="C169" s="71" t="s">
        <v>22</v>
      </c>
      <c r="D169" s="71" t="s">
        <v>30</v>
      </c>
      <c r="E169" s="71">
        <v>0.158</v>
      </c>
      <c r="F169" s="71">
        <v>18</v>
      </c>
      <c r="G169" s="71">
        <v>0.2</v>
      </c>
      <c r="H169" s="71">
        <v>0</v>
      </c>
      <c r="I169" s="71">
        <v>3.4</v>
      </c>
      <c r="J169" s="71">
        <v>100627.56</v>
      </c>
      <c r="K169" s="71">
        <v>724216.07</v>
      </c>
      <c r="L169" s="71">
        <v>56918.16</v>
      </c>
      <c r="M169" s="71">
        <v>7015</v>
      </c>
      <c r="N169" s="71">
        <v>74.2</v>
      </c>
      <c r="O169" s="71">
        <v>0</v>
      </c>
      <c r="P169" s="71">
        <v>1</v>
      </c>
      <c r="Q169" s="71">
        <v>0</v>
      </c>
      <c r="R169" s="71">
        <v>0</v>
      </c>
      <c r="S169" s="71">
        <v>1</v>
      </c>
      <c r="T169" s="71">
        <v>0</v>
      </c>
      <c r="U169">
        <v>704740.013743063</v>
      </c>
      <c r="V169">
        <v>51828.708423204</v>
      </c>
    </row>
    <row r="170" customFormat="1" spans="1:22">
      <c r="A170" s="71" t="s">
        <v>63</v>
      </c>
      <c r="B170" s="177">
        <v>45748</v>
      </c>
      <c r="C170" s="71" t="s">
        <v>22</v>
      </c>
      <c r="D170" s="71" t="s">
        <v>30</v>
      </c>
      <c r="E170" s="71">
        <v>0.159</v>
      </c>
      <c r="F170" s="71">
        <v>12</v>
      </c>
      <c r="G170" s="71">
        <v>5.46</v>
      </c>
      <c r="H170" s="71">
        <v>0</v>
      </c>
      <c r="I170" s="71">
        <v>3.3</v>
      </c>
      <c r="J170" s="71">
        <v>72303.85</v>
      </c>
      <c r="K170" s="71">
        <v>620973.03</v>
      </c>
      <c r="L170" s="71">
        <v>23254.57</v>
      </c>
      <c r="M170" s="71">
        <v>3847</v>
      </c>
      <c r="N170" s="71">
        <v>93</v>
      </c>
      <c r="O170" s="71">
        <v>0</v>
      </c>
      <c r="P170" s="71">
        <v>1</v>
      </c>
      <c r="Q170" s="71">
        <v>0</v>
      </c>
      <c r="R170" s="71">
        <v>0</v>
      </c>
      <c r="S170" s="71">
        <v>1</v>
      </c>
      <c r="T170" s="71">
        <v>0</v>
      </c>
      <c r="U170">
        <v>663485.65786869</v>
      </c>
      <c r="V170">
        <v>8777.89448441204</v>
      </c>
    </row>
    <row r="171" customFormat="1" spans="1:22">
      <c r="A171" s="71" t="s">
        <v>64</v>
      </c>
      <c r="B171" s="177">
        <v>45658</v>
      </c>
      <c r="C171" s="71" t="s">
        <v>26</v>
      </c>
      <c r="D171" s="71" t="s">
        <v>20</v>
      </c>
      <c r="E171" s="71">
        <v>0.175</v>
      </c>
      <c r="F171" s="71">
        <v>16</v>
      </c>
      <c r="G171" s="71">
        <v>4.05</v>
      </c>
      <c r="H171" s="71">
        <v>0</v>
      </c>
      <c r="I171" s="71">
        <v>4</v>
      </c>
      <c r="J171" s="71">
        <v>109012.07</v>
      </c>
      <c r="K171" s="71">
        <v>650480.06</v>
      </c>
      <c r="L171" s="71">
        <v>41443.41</v>
      </c>
      <c r="M171" s="71">
        <v>7455</v>
      </c>
      <c r="N171" s="71">
        <v>90.1</v>
      </c>
      <c r="O171" s="71">
        <v>0</v>
      </c>
      <c r="P171" s="71">
        <v>1</v>
      </c>
      <c r="Q171" s="71">
        <v>0</v>
      </c>
      <c r="R171" s="71">
        <v>0</v>
      </c>
      <c r="S171" s="71">
        <v>1</v>
      </c>
      <c r="T171" s="71">
        <v>0</v>
      </c>
      <c r="U171">
        <v>703061.733924881</v>
      </c>
      <c r="V171">
        <v>92605.3228514571</v>
      </c>
    </row>
    <row r="172" customFormat="1" spans="1:22">
      <c r="A172" s="71" t="s">
        <v>64</v>
      </c>
      <c r="B172" s="177">
        <v>45689</v>
      </c>
      <c r="C172" s="71" t="s">
        <v>26</v>
      </c>
      <c r="D172" s="71" t="s">
        <v>20</v>
      </c>
      <c r="E172" s="71">
        <v>0.034</v>
      </c>
      <c r="F172" s="71">
        <v>20</v>
      </c>
      <c r="G172" s="71">
        <v>4.36</v>
      </c>
      <c r="H172" s="71">
        <v>0</v>
      </c>
      <c r="I172" s="71">
        <v>4.2</v>
      </c>
      <c r="J172" s="71">
        <v>130076.72</v>
      </c>
      <c r="K172" s="71">
        <v>778298.88</v>
      </c>
      <c r="L172" s="71">
        <v>48438.85</v>
      </c>
      <c r="M172" s="71">
        <v>6992</v>
      </c>
      <c r="N172" s="71">
        <v>91</v>
      </c>
      <c r="O172" s="71">
        <v>0</v>
      </c>
      <c r="P172" s="71">
        <v>0</v>
      </c>
      <c r="Q172" s="71">
        <v>0</v>
      </c>
      <c r="R172" s="71">
        <v>1</v>
      </c>
      <c r="S172" s="71">
        <v>0</v>
      </c>
      <c r="T172" s="71">
        <v>0</v>
      </c>
      <c r="U172">
        <v>814547.485580265</v>
      </c>
      <c r="V172">
        <v>113140.369330295</v>
      </c>
    </row>
    <row r="173" customFormat="1" spans="1:22">
      <c r="A173" s="71" t="s">
        <v>64</v>
      </c>
      <c r="B173" s="177">
        <v>45717</v>
      </c>
      <c r="C173" s="71" t="s">
        <v>26</v>
      </c>
      <c r="D173" s="71" t="s">
        <v>20</v>
      </c>
      <c r="E173" s="71">
        <v>0.193</v>
      </c>
      <c r="F173" s="71">
        <v>17</v>
      </c>
      <c r="G173" s="71">
        <v>4.47</v>
      </c>
      <c r="H173" s="71">
        <v>0</v>
      </c>
      <c r="I173" s="71">
        <v>4.2</v>
      </c>
      <c r="J173" s="71">
        <v>97174.11</v>
      </c>
      <c r="K173" s="71">
        <v>677096.71</v>
      </c>
      <c r="L173" s="71">
        <v>57143.3</v>
      </c>
      <c r="M173" s="71">
        <v>8038</v>
      </c>
      <c r="N173" s="71">
        <v>72.6</v>
      </c>
      <c r="O173" s="71">
        <v>0</v>
      </c>
      <c r="P173" s="71">
        <v>0</v>
      </c>
      <c r="Q173" s="71">
        <v>0</v>
      </c>
      <c r="R173" s="71">
        <v>1</v>
      </c>
      <c r="S173" s="71">
        <v>0</v>
      </c>
      <c r="T173" s="71">
        <v>0</v>
      </c>
      <c r="U173">
        <v>673472.151377236</v>
      </c>
      <c r="V173">
        <v>73914.627403889</v>
      </c>
    </row>
    <row r="174" customFormat="1" spans="1:22">
      <c r="A174" s="71" t="s">
        <v>64</v>
      </c>
      <c r="B174" s="177">
        <v>45748</v>
      </c>
      <c r="C174" s="71" t="s">
        <v>26</v>
      </c>
      <c r="D174" s="71" t="s">
        <v>20</v>
      </c>
      <c r="E174" s="71">
        <v>0.075</v>
      </c>
      <c r="F174" s="71">
        <v>19</v>
      </c>
      <c r="G174" s="71">
        <v>0.54</v>
      </c>
      <c r="H174" s="71">
        <v>0</v>
      </c>
      <c r="I174" s="71">
        <v>4.3</v>
      </c>
      <c r="J174" s="71">
        <v>116337.87</v>
      </c>
      <c r="K174" s="71">
        <v>692008.64</v>
      </c>
      <c r="L174" s="71">
        <v>66870.62</v>
      </c>
      <c r="M174" s="71">
        <v>6055</v>
      </c>
      <c r="N174" s="71">
        <v>93.8</v>
      </c>
      <c r="O174" s="71">
        <v>0</v>
      </c>
      <c r="P174" s="71">
        <v>0</v>
      </c>
      <c r="Q174" s="71">
        <v>0</v>
      </c>
      <c r="R174" s="71">
        <v>1</v>
      </c>
      <c r="S174" s="71">
        <v>0</v>
      </c>
      <c r="T174" s="71">
        <v>0</v>
      </c>
      <c r="U174">
        <v>714370.856849497</v>
      </c>
      <c r="V174">
        <v>118118.712495177</v>
      </c>
    </row>
    <row r="175" customFormat="1" spans="1:22">
      <c r="A175" s="71" t="s">
        <v>65</v>
      </c>
      <c r="B175" s="177">
        <v>45658</v>
      </c>
      <c r="C175" s="71" t="s">
        <v>22</v>
      </c>
      <c r="D175" s="71" t="s">
        <v>30</v>
      </c>
      <c r="E175" s="71">
        <v>0.157</v>
      </c>
      <c r="F175" s="71">
        <v>22</v>
      </c>
      <c r="G175" s="71">
        <v>11.37</v>
      </c>
      <c r="H175" s="71">
        <v>1</v>
      </c>
      <c r="I175" s="71">
        <v>4.3</v>
      </c>
      <c r="J175" s="71">
        <v>130945.24</v>
      </c>
      <c r="K175" s="71">
        <v>825797.91</v>
      </c>
      <c r="L175" s="71">
        <v>72150.53</v>
      </c>
      <c r="M175" s="71">
        <v>9323</v>
      </c>
      <c r="N175" s="71">
        <v>82.9</v>
      </c>
      <c r="O175" s="71">
        <v>0</v>
      </c>
      <c r="P175" s="71">
        <v>0</v>
      </c>
      <c r="Q175" s="71">
        <v>0</v>
      </c>
      <c r="R175" s="71">
        <v>1</v>
      </c>
      <c r="S175" s="71">
        <v>0</v>
      </c>
      <c r="T175" s="71">
        <v>0</v>
      </c>
      <c r="U175">
        <v>689160.920180724</v>
      </c>
      <c r="V175">
        <v>94222.1184505664</v>
      </c>
    </row>
    <row r="176" customFormat="1" spans="1:22">
      <c r="A176" s="71" t="s">
        <v>65</v>
      </c>
      <c r="B176" s="177">
        <v>45689</v>
      </c>
      <c r="C176" s="71" t="s">
        <v>22</v>
      </c>
      <c r="D176" s="71" t="s">
        <v>30</v>
      </c>
      <c r="E176" s="71">
        <v>0.123</v>
      </c>
      <c r="F176" s="71">
        <v>22</v>
      </c>
      <c r="G176" s="71">
        <v>9.43</v>
      </c>
      <c r="H176" s="71">
        <v>0</v>
      </c>
      <c r="I176" s="71">
        <v>4.2</v>
      </c>
      <c r="J176" s="71">
        <v>138014.72</v>
      </c>
      <c r="K176" s="71">
        <v>706285.52</v>
      </c>
      <c r="L176" s="71">
        <v>35303.3</v>
      </c>
      <c r="M176" s="71">
        <v>8789</v>
      </c>
      <c r="N176" s="71">
        <v>86.1</v>
      </c>
      <c r="O176" s="71">
        <v>1</v>
      </c>
      <c r="P176" s="71">
        <v>0</v>
      </c>
      <c r="Q176" s="71">
        <v>0</v>
      </c>
      <c r="R176" s="71">
        <v>0</v>
      </c>
      <c r="S176" s="71">
        <v>1</v>
      </c>
      <c r="T176" s="71">
        <v>0</v>
      </c>
      <c r="U176">
        <v>684190.389656991</v>
      </c>
      <c r="V176">
        <v>127209.845393908</v>
      </c>
    </row>
    <row r="177" customFormat="1" spans="1:22">
      <c r="A177" s="71" t="s">
        <v>65</v>
      </c>
      <c r="B177" s="177">
        <v>45717</v>
      </c>
      <c r="C177" s="71" t="s">
        <v>22</v>
      </c>
      <c r="D177" s="71" t="s">
        <v>30</v>
      </c>
      <c r="E177" s="71">
        <v>0.09</v>
      </c>
      <c r="F177" s="71">
        <v>16</v>
      </c>
      <c r="G177" s="71">
        <v>3.49</v>
      </c>
      <c r="H177" s="71">
        <v>0</v>
      </c>
      <c r="I177" s="71">
        <v>4</v>
      </c>
      <c r="J177" s="71">
        <v>113167.73</v>
      </c>
      <c r="K177" s="71">
        <v>665534.7</v>
      </c>
      <c r="L177" s="71">
        <v>30301.86</v>
      </c>
      <c r="M177" s="71">
        <v>6939</v>
      </c>
      <c r="N177" s="71">
        <v>90.3</v>
      </c>
      <c r="O177" s="71">
        <v>1</v>
      </c>
      <c r="P177" s="71">
        <v>0</v>
      </c>
      <c r="Q177" s="71">
        <v>0</v>
      </c>
      <c r="R177" s="71">
        <v>0</v>
      </c>
      <c r="S177" s="71">
        <v>1</v>
      </c>
      <c r="T177" s="71">
        <v>0</v>
      </c>
      <c r="U177">
        <v>655731.477838401</v>
      </c>
      <c r="V177">
        <v>-23630.8382823945</v>
      </c>
    </row>
    <row r="178" customFormat="1" spans="1:22">
      <c r="A178" s="71" t="s">
        <v>65</v>
      </c>
      <c r="B178" s="177">
        <v>45748</v>
      </c>
      <c r="C178" s="71" t="s">
        <v>22</v>
      </c>
      <c r="D178" s="71" t="s">
        <v>30</v>
      </c>
      <c r="E178" s="71">
        <v>0.126</v>
      </c>
      <c r="F178" s="71">
        <v>23</v>
      </c>
      <c r="G178" s="71">
        <v>7.86</v>
      </c>
      <c r="H178" s="71">
        <v>0</v>
      </c>
      <c r="I178" s="71">
        <v>4.1</v>
      </c>
      <c r="J178" s="71">
        <v>159325.47</v>
      </c>
      <c r="K178" s="71">
        <v>820729.29</v>
      </c>
      <c r="L178" s="71">
        <v>78432.14</v>
      </c>
      <c r="M178" s="71">
        <v>9440</v>
      </c>
      <c r="N178" s="71">
        <v>89.2</v>
      </c>
      <c r="O178" s="71">
        <v>1</v>
      </c>
      <c r="P178" s="71">
        <v>0</v>
      </c>
      <c r="Q178" s="71">
        <v>0</v>
      </c>
      <c r="R178" s="71">
        <v>0</v>
      </c>
      <c r="S178" s="71">
        <v>1</v>
      </c>
      <c r="T178" s="71">
        <v>0</v>
      </c>
      <c r="U178">
        <v>676779.790577263</v>
      </c>
      <c r="V178">
        <v>19476.0562569373</v>
      </c>
    </row>
    <row r="179" customFormat="1" spans="1:22">
      <c r="A179" s="71" t="s">
        <v>66</v>
      </c>
      <c r="B179" s="177">
        <v>45658</v>
      </c>
      <c r="C179" s="71" t="s">
        <v>17</v>
      </c>
      <c r="D179" s="71" t="s">
        <v>18</v>
      </c>
      <c r="E179" s="71">
        <v>0.136</v>
      </c>
      <c r="F179" s="71">
        <v>25</v>
      </c>
      <c r="G179" s="71">
        <v>12.55</v>
      </c>
      <c r="H179" s="71">
        <v>0</v>
      </c>
      <c r="I179" s="71">
        <v>4.9</v>
      </c>
      <c r="J179" s="71">
        <v>119490.21</v>
      </c>
      <c r="K179" s="71">
        <v>739831.73</v>
      </c>
      <c r="L179" s="71">
        <v>62059.18</v>
      </c>
      <c r="M179" s="71">
        <v>9374</v>
      </c>
      <c r="N179" s="71">
        <v>87.1</v>
      </c>
      <c r="O179" s="71">
        <v>1</v>
      </c>
      <c r="P179" s="71">
        <v>0</v>
      </c>
      <c r="Q179" s="71">
        <v>0</v>
      </c>
      <c r="R179" s="71">
        <v>0</v>
      </c>
      <c r="S179" s="71">
        <v>1</v>
      </c>
      <c r="T179" s="71">
        <v>0</v>
      </c>
      <c r="U179">
        <v>585179.396357784</v>
      </c>
      <c r="V179">
        <v>-42512.6278686902</v>
      </c>
    </row>
    <row r="180" customFormat="1" spans="1:22">
      <c r="A180" s="71" t="s">
        <v>66</v>
      </c>
      <c r="B180" s="177">
        <v>45689</v>
      </c>
      <c r="C180" s="71" t="s">
        <v>17</v>
      </c>
      <c r="D180" s="71" t="s">
        <v>18</v>
      </c>
      <c r="E180" s="71">
        <v>0.099</v>
      </c>
      <c r="F180" s="71">
        <v>15</v>
      </c>
      <c r="G180" s="71">
        <v>3.48</v>
      </c>
      <c r="H180" s="71">
        <v>0</v>
      </c>
      <c r="I180" s="71">
        <v>5</v>
      </c>
      <c r="J180" s="71">
        <v>106648.14</v>
      </c>
      <c r="K180" s="71">
        <v>593637.14</v>
      </c>
      <c r="L180" s="71">
        <v>32834.48</v>
      </c>
      <c r="M180" s="71">
        <v>7576</v>
      </c>
      <c r="N180" s="71">
        <v>84.1</v>
      </c>
      <c r="O180" s="71">
        <v>0</v>
      </c>
      <c r="P180" s="71">
        <v>1</v>
      </c>
      <c r="Q180" s="71">
        <v>0</v>
      </c>
      <c r="R180" s="71">
        <v>1</v>
      </c>
      <c r="S180" s="71">
        <v>0</v>
      </c>
      <c r="T180" s="71">
        <v>0</v>
      </c>
      <c r="U180">
        <v>720372.769278126</v>
      </c>
      <c r="V180">
        <v>-52581.6739248809</v>
      </c>
    </row>
    <row r="181" customFormat="1" spans="1:22">
      <c r="A181" s="71" t="s">
        <v>66</v>
      </c>
      <c r="B181" s="177">
        <v>45717</v>
      </c>
      <c r="C181" s="71" t="s">
        <v>17</v>
      </c>
      <c r="D181" s="71" t="s">
        <v>18</v>
      </c>
      <c r="E181" s="71">
        <v>0.157</v>
      </c>
      <c r="F181" s="71">
        <v>21</v>
      </c>
      <c r="G181" s="71">
        <v>7.73</v>
      </c>
      <c r="H181" s="71">
        <v>0</v>
      </c>
      <c r="I181" s="71">
        <v>4.9</v>
      </c>
      <c r="J181" s="71">
        <v>158697</v>
      </c>
      <c r="K181" s="71">
        <v>769702.76</v>
      </c>
      <c r="L181" s="71">
        <v>50825.08</v>
      </c>
      <c r="M181" s="71">
        <v>8949</v>
      </c>
      <c r="N181" s="71">
        <v>84.7</v>
      </c>
      <c r="O181" s="71">
        <v>0</v>
      </c>
      <c r="P181" s="71">
        <v>1</v>
      </c>
      <c r="Q181" s="71">
        <v>0</v>
      </c>
      <c r="R181" s="71">
        <v>1</v>
      </c>
      <c r="S181" s="71">
        <v>0</v>
      </c>
      <c r="T181" s="71">
        <v>0</v>
      </c>
      <c r="U181">
        <v>683130.306021032</v>
      </c>
      <c r="V181">
        <v>-36248.6055802647</v>
      </c>
    </row>
    <row r="182" customFormat="1" spans="1:22">
      <c r="A182" s="71" t="s">
        <v>66</v>
      </c>
      <c r="B182" s="177">
        <v>45748</v>
      </c>
      <c r="C182" s="71" t="s">
        <v>17</v>
      </c>
      <c r="D182" s="71" t="s">
        <v>18</v>
      </c>
      <c r="E182" s="71">
        <v>0.118</v>
      </c>
      <c r="F182" s="71">
        <v>18</v>
      </c>
      <c r="G182" s="71">
        <v>0.25</v>
      </c>
      <c r="H182" s="71">
        <v>0</v>
      </c>
      <c r="I182" s="71">
        <v>4.4</v>
      </c>
      <c r="J182" s="71">
        <v>121546.42</v>
      </c>
      <c r="K182" s="71">
        <v>679731.57</v>
      </c>
      <c r="L182" s="71">
        <v>36606.51</v>
      </c>
      <c r="M182" s="71">
        <v>7671</v>
      </c>
      <c r="N182" s="71">
        <v>89.8</v>
      </c>
      <c r="O182" s="71">
        <v>0</v>
      </c>
      <c r="P182" s="71">
        <v>1</v>
      </c>
      <c r="Q182" s="71">
        <v>0</v>
      </c>
      <c r="R182" s="71">
        <v>1</v>
      </c>
      <c r="S182" s="71">
        <v>0</v>
      </c>
      <c r="T182" s="71">
        <v>0</v>
      </c>
      <c r="U182">
        <v>674404.292871271</v>
      </c>
      <c r="V182">
        <v>3624.55862276372</v>
      </c>
    </row>
    <row r="183" customFormat="1" spans="1:22">
      <c r="A183" s="71" t="s">
        <v>67</v>
      </c>
      <c r="B183" s="177">
        <v>45658</v>
      </c>
      <c r="C183" s="71" t="s">
        <v>17</v>
      </c>
      <c r="D183" s="71" t="s">
        <v>18</v>
      </c>
      <c r="E183" s="71">
        <v>0.157</v>
      </c>
      <c r="F183" s="71">
        <v>20</v>
      </c>
      <c r="G183" s="71">
        <v>6.43</v>
      </c>
      <c r="H183" s="71">
        <v>0</v>
      </c>
      <c r="I183" s="71">
        <v>3.3</v>
      </c>
      <c r="J183" s="71">
        <v>118239.09</v>
      </c>
      <c r="K183" s="71">
        <v>780344.18</v>
      </c>
      <c r="L183" s="71">
        <v>65237.79</v>
      </c>
      <c r="M183" s="71">
        <v>8741</v>
      </c>
      <c r="N183" s="71">
        <v>94.4</v>
      </c>
      <c r="O183" s="71">
        <v>0</v>
      </c>
      <c r="P183" s="71">
        <v>1</v>
      </c>
      <c r="Q183" s="71">
        <v>0</v>
      </c>
      <c r="R183" s="71">
        <v>1</v>
      </c>
      <c r="S183" s="71">
        <v>0</v>
      </c>
      <c r="T183" s="71">
        <v>0</v>
      </c>
      <c r="U183">
        <v>681598.759609282</v>
      </c>
      <c r="V183">
        <v>-22362.2168494971</v>
      </c>
    </row>
    <row r="184" customFormat="1" spans="1:22">
      <c r="A184" s="71" t="s">
        <v>67</v>
      </c>
      <c r="B184" s="177">
        <v>45689</v>
      </c>
      <c r="C184" s="71" t="s">
        <v>17</v>
      </c>
      <c r="D184" s="71" t="s">
        <v>18</v>
      </c>
      <c r="E184" s="71">
        <v>0.109</v>
      </c>
      <c r="F184" s="71">
        <v>22</v>
      </c>
      <c r="G184" s="71">
        <v>2.11</v>
      </c>
      <c r="H184" s="71">
        <v>0</v>
      </c>
      <c r="I184" s="71">
        <v>3.1</v>
      </c>
      <c r="J184" s="71">
        <v>147272.81</v>
      </c>
      <c r="K184" s="71">
        <v>721364.11</v>
      </c>
      <c r="L184" s="71">
        <v>43645.98</v>
      </c>
      <c r="M184" s="71">
        <v>9480</v>
      </c>
      <c r="N184" s="71">
        <v>89</v>
      </c>
      <c r="O184" s="71">
        <v>1</v>
      </c>
      <c r="P184" s="71">
        <v>0</v>
      </c>
      <c r="Q184" s="71">
        <v>0</v>
      </c>
      <c r="R184" s="71">
        <v>0</v>
      </c>
      <c r="S184" s="71">
        <v>1</v>
      </c>
      <c r="T184" s="71">
        <v>0</v>
      </c>
      <c r="U184">
        <v>766249.201305986</v>
      </c>
      <c r="V184">
        <v>136636.989819276</v>
      </c>
    </row>
    <row r="185" customFormat="1" spans="1:22">
      <c r="A185" s="71" t="s">
        <v>67</v>
      </c>
      <c r="B185" s="177">
        <v>45717</v>
      </c>
      <c r="C185" s="71" t="s">
        <v>17</v>
      </c>
      <c r="D185" s="71" t="s">
        <v>18</v>
      </c>
      <c r="E185" s="71">
        <v>0.125</v>
      </c>
      <c r="F185" s="71">
        <v>20</v>
      </c>
      <c r="G185" s="71">
        <v>9.12</v>
      </c>
      <c r="H185" s="71">
        <v>0</v>
      </c>
      <c r="I185" s="71">
        <v>3.6</v>
      </c>
      <c r="J185" s="71">
        <v>132975.26</v>
      </c>
      <c r="K185" s="71">
        <v>758138.29</v>
      </c>
      <c r="L185" s="71">
        <v>68040.15</v>
      </c>
      <c r="M185" s="71">
        <v>9826</v>
      </c>
      <c r="N185" s="71">
        <v>83.9</v>
      </c>
      <c r="O185" s="71">
        <v>1</v>
      </c>
      <c r="P185" s="71">
        <v>0</v>
      </c>
      <c r="Q185" s="71">
        <v>0</v>
      </c>
      <c r="R185" s="71">
        <v>0</v>
      </c>
      <c r="S185" s="71">
        <v>1</v>
      </c>
      <c r="T185" s="71">
        <v>0</v>
      </c>
      <c r="U185">
        <v>734510.346689011</v>
      </c>
      <c r="V185">
        <v>22095.130343009</v>
      </c>
    </row>
    <row r="186" customFormat="1" spans="1:22">
      <c r="A186" s="71" t="s">
        <v>67</v>
      </c>
      <c r="B186" s="177">
        <v>45748</v>
      </c>
      <c r="C186" s="71" t="s">
        <v>17</v>
      </c>
      <c r="D186" s="71" t="s">
        <v>18</v>
      </c>
      <c r="E186" s="71">
        <v>0.159</v>
      </c>
      <c r="F186" s="71">
        <v>23</v>
      </c>
      <c r="G186" s="71">
        <v>2.71</v>
      </c>
      <c r="H186" s="71">
        <v>0</v>
      </c>
      <c r="I186" s="71">
        <v>3.1</v>
      </c>
      <c r="J186" s="71">
        <v>167117.91</v>
      </c>
      <c r="K186" s="71">
        <v>804264</v>
      </c>
      <c r="L186" s="71">
        <v>63043.94</v>
      </c>
      <c r="M186" s="71">
        <v>10402</v>
      </c>
      <c r="N186" s="71">
        <v>93.9</v>
      </c>
      <c r="O186" s="71">
        <v>1</v>
      </c>
      <c r="P186" s="71">
        <v>0</v>
      </c>
      <c r="Q186" s="71">
        <v>0</v>
      </c>
      <c r="R186" s="71">
        <v>0</v>
      </c>
      <c r="S186" s="71">
        <v>1</v>
      </c>
      <c r="T186" s="71">
        <v>0</v>
      </c>
      <c r="U186">
        <v>678363.528452756</v>
      </c>
      <c r="V186">
        <v>9803.22216159862</v>
      </c>
    </row>
    <row r="187" customFormat="1" spans="1:22">
      <c r="A187" s="71" t="s">
        <v>68</v>
      </c>
      <c r="B187" s="177">
        <v>45658</v>
      </c>
      <c r="C187" s="71" t="s">
        <v>29</v>
      </c>
      <c r="D187" s="71" t="s">
        <v>23</v>
      </c>
      <c r="E187" s="71">
        <v>0.046</v>
      </c>
      <c r="F187" s="71">
        <v>24</v>
      </c>
      <c r="G187" s="71">
        <v>3.65</v>
      </c>
      <c r="H187" s="71">
        <v>1</v>
      </c>
      <c r="I187" s="71">
        <v>3.7</v>
      </c>
      <c r="J187" s="71">
        <v>160362.92</v>
      </c>
      <c r="K187" s="71">
        <v>887537.75</v>
      </c>
      <c r="L187" s="71">
        <v>67494.09</v>
      </c>
      <c r="M187" s="71">
        <v>12361</v>
      </c>
      <c r="N187" s="71">
        <v>76.6</v>
      </c>
      <c r="O187" s="71">
        <v>1</v>
      </c>
      <c r="P187" s="71">
        <v>0</v>
      </c>
      <c r="Q187" s="71">
        <v>0</v>
      </c>
      <c r="R187" s="71">
        <v>0</v>
      </c>
      <c r="S187" s="71">
        <v>1</v>
      </c>
      <c r="T187" s="71">
        <v>0</v>
      </c>
      <c r="U187">
        <v>816985.524019474</v>
      </c>
      <c r="V187">
        <v>143949.499422737</v>
      </c>
    </row>
    <row r="188" customFormat="1" spans="1:22">
      <c r="A188" s="71" t="s">
        <v>68</v>
      </c>
      <c r="B188" s="177">
        <v>45689</v>
      </c>
      <c r="C188" s="71" t="s">
        <v>29</v>
      </c>
      <c r="D188" s="71" t="s">
        <v>23</v>
      </c>
      <c r="E188" s="71">
        <v>0.177</v>
      </c>
      <c r="F188" s="71">
        <v>21</v>
      </c>
      <c r="G188" s="71">
        <v>7.86</v>
      </c>
      <c r="H188" s="71">
        <v>0</v>
      </c>
      <c r="I188" s="71">
        <v>4</v>
      </c>
      <c r="J188" s="71">
        <v>130670.93</v>
      </c>
      <c r="K188" s="71">
        <v>783582</v>
      </c>
      <c r="L188" s="71">
        <v>29389.32</v>
      </c>
      <c r="M188" s="71">
        <v>7925</v>
      </c>
      <c r="N188" s="71">
        <v>90.9</v>
      </c>
      <c r="O188" s="71">
        <v>0</v>
      </c>
      <c r="P188" s="71">
        <v>0</v>
      </c>
      <c r="Q188" s="71">
        <v>0</v>
      </c>
      <c r="R188" s="71">
        <v>0</v>
      </c>
      <c r="S188" s="71">
        <v>0</v>
      </c>
      <c r="T188" s="71">
        <v>1</v>
      </c>
      <c r="U188">
        <v>789075.170745937</v>
      </c>
      <c r="V188">
        <v>154652.333642216</v>
      </c>
    </row>
    <row r="189" customFormat="1" spans="1:22">
      <c r="A189" s="71" t="s">
        <v>68</v>
      </c>
      <c r="B189" s="177">
        <v>45717</v>
      </c>
      <c r="C189" s="71" t="s">
        <v>29</v>
      </c>
      <c r="D189" s="71" t="s">
        <v>23</v>
      </c>
      <c r="E189" s="71">
        <v>0.041</v>
      </c>
      <c r="F189" s="71">
        <v>21</v>
      </c>
      <c r="G189" s="71">
        <v>0.3</v>
      </c>
      <c r="H189" s="71">
        <v>0</v>
      </c>
      <c r="I189" s="71">
        <v>4.1</v>
      </c>
      <c r="J189" s="71">
        <v>152578.71</v>
      </c>
      <c r="K189" s="71">
        <v>781955.52</v>
      </c>
      <c r="L189" s="71">
        <v>40535.09</v>
      </c>
      <c r="M189" s="71">
        <v>8870</v>
      </c>
      <c r="N189" s="71">
        <v>86.6</v>
      </c>
      <c r="O189" s="71">
        <v>0</v>
      </c>
      <c r="P189" s="71">
        <v>0</v>
      </c>
      <c r="Q189" s="71">
        <v>0</v>
      </c>
      <c r="R189" s="71">
        <v>0</v>
      </c>
      <c r="S189" s="71">
        <v>0</v>
      </c>
      <c r="T189" s="71">
        <v>1</v>
      </c>
      <c r="U189">
        <v>684176.305298328</v>
      </c>
      <c r="V189">
        <v>-126735.629278126</v>
      </c>
    </row>
    <row r="190" customFormat="1" spans="1:22">
      <c r="A190" s="71" t="s">
        <v>68</v>
      </c>
      <c r="B190" s="177">
        <v>45748</v>
      </c>
      <c r="C190" s="71" t="s">
        <v>29</v>
      </c>
      <c r="D190" s="71" t="s">
        <v>23</v>
      </c>
      <c r="E190" s="71">
        <v>0.013</v>
      </c>
      <c r="F190" s="71">
        <v>20</v>
      </c>
      <c r="G190" s="71">
        <v>8.44</v>
      </c>
      <c r="H190" s="71">
        <v>0</v>
      </c>
      <c r="I190" s="71">
        <v>4.1</v>
      </c>
      <c r="J190" s="71">
        <v>138666.5</v>
      </c>
      <c r="K190" s="71">
        <v>898031.04</v>
      </c>
      <c r="L190" s="71">
        <v>74881.56</v>
      </c>
      <c r="M190" s="71">
        <v>9999</v>
      </c>
      <c r="N190" s="71">
        <v>89.6</v>
      </c>
      <c r="O190" s="71">
        <v>0</v>
      </c>
      <c r="P190" s="71">
        <v>0</v>
      </c>
      <c r="Q190" s="71">
        <v>0</v>
      </c>
      <c r="R190" s="71">
        <v>0</v>
      </c>
      <c r="S190" s="71">
        <v>0</v>
      </c>
      <c r="T190" s="71">
        <v>1</v>
      </c>
      <c r="U190">
        <v>753821.863477771</v>
      </c>
      <c r="V190">
        <v>86572.4539789682</v>
      </c>
    </row>
    <row r="191" customFormat="1" spans="1:22">
      <c r="A191" s="71" t="s">
        <v>69</v>
      </c>
      <c r="B191" s="177">
        <v>45658</v>
      </c>
      <c r="C191" s="71" t="s">
        <v>29</v>
      </c>
      <c r="D191" s="71" t="s">
        <v>18</v>
      </c>
      <c r="E191" s="71">
        <v>0.001</v>
      </c>
      <c r="F191" s="71">
        <v>24</v>
      </c>
      <c r="G191" s="71">
        <v>5.27</v>
      </c>
      <c r="H191" s="71">
        <v>1</v>
      </c>
      <c r="I191" s="71">
        <v>3.9</v>
      </c>
      <c r="J191" s="71">
        <v>175823.8</v>
      </c>
      <c r="K191" s="71">
        <v>855341.28</v>
      </c>
      <c r="L191" s="71">
        <v>68491.11</v>
      </c>
      <c r="M191" s="71">
        <v>11154</v>
      </c>
      <c r="N191" s="71">
        <v>89.4</v>
      </c>
      <c r="O191" s="71">
        <v>0</v>
      </c>
      <c r="P191" s="71">
        <v>0</v>
      </c>
      <c r="Q191" s="71">
        <v>0</v>
      </c>
      <c r="R191" s="71">
        <v>0</v>
      </c>
      <c r="S191" s="71">
        <v>0</v>
      </c>
      <c r="T191" s="71">
        <v>1</v>
      </c>
      <c r="U191">
        <v>708754.752066827</v>
      </c>
      <c r="V191">
        <v>5327.27712872846</v>
      </c>
    </row>
    <row r="192" customFormat="1" spans="1:22">
      <c r="A192" s="71" t="s">
        <v>69</v>
      </c>
      <c r="B192" s="177">
        <v>45689</v>
      </c>
      <c r="C192" s="71" t="s">
        <v>29</v>
      </c>
      <c r="D192" s="71" t="s">
        <v>18</v>
      </c>
      <c r="E192" s="71">
        <v>0.141</v>
      </c>
      <c r="F192" s="71">
        <v>22</v>
      </c>
      <c r="G192" s="71">
        <v>13.22</v>
      </c>
      <c r="H192" s="71">
        <v>0</v>
      </c>
      <c r="I192" s="71">
        <v>3.6</v>
      </c>
      <c r="J192" s="71">
        <v>91480.32</v>
      </c>
      <c r="K192" s="71">
        <v>751393.88</v>
      </c>
      <c r="L192" s="71">
        <v>45209.25</v>
      </c>
      <c r="M192" s="71">
        <v>9287</v>
      </c>
      <c r="N192" s="71">
        <v>86.4</v>
      </c>
      <c r="O192" s="71">
        <v>0</v>
      </c>
      <c r="P192" s="71">
        <v>0</v>
      </c>
      <c r="Q192" s="71">
        <v>0</v>
      </c>
      <c r="R192" s="71">
        <v>0</v>
      </c>
      <c r="S192" s="71">
        <v>0</v>
      </c>
      <c r="T192" s="71">
        <v>1</v>
      </c>
      <c r="U192">
        <v>792630.80623406</v>
      </c>
      <c r="V192">
        <v>98745.4203907179</v>
      </c>
    </row>
    <row r="193" customFormat="1" spans="1:22">
      <c r="A193" s="71" t="s">
        <v>69</v>
      </c>
      <c r="B193" s="177">
        <v>45717</v>
      </c>
      <c r="C193" s="71" t="s">
        <v>29</v>
      </c>
      <c r="D193" s="71" t="s">
        <v>18</v>
      </c>
      <c r="E193" s="71">
        <v>0.113</v>
      </c>
      <c r="F193" s="71">
        <v>24</v>
      </c>
      <c r="G193" s="71">
        <v>1.02</v>
      </c>
      <c r="H193" s="71">
        <v>1</v>
      </c>
      <c r="I193" s="71">
        <v>3.8</v>
      </c>
      <c r="J193" s="71">
        <v>113605.93</v>
      </c>
      <c r="K193" s="71">
        <v>761077.08</v>
      </c>
      <c r="L193" s="71">
        <v>63010.23</v>
      </c>
      <c r="M193" s="71">
        <v>9812</v>
      </c>
      <c r="N193" s="71">
        <v>76.8</v>
      </c>
      <c r="O193" s="71">
        <v>0</v>
      </c>
      <c r="P193" s="71">
        <v>0</v>
      </c>
      <c r="Q193" s="71">
        <v>0</v>
      </c>
      <c r="R193" s="71">
        <v>0</v>
      </c>
      <c r="S193" s="71">
        <v>0</v>
      </c>
      <c r="T193" s="71">
        <v>1</v>
      </c>
      <c r="U193">
        <v>776409.252447971</v>
      </c>
      <c r="V193">
        <v>-44885.0913059862</v>
      </c>
    </row>
    <row r="194" customFormat="1" spans="1:22">
      <c r="A194" s="71" t="s">
        <v>69</v>
      </c>
      <c r="B194" s="177">
        <v>45748</v>
      </c>
      <c r="C194" s="71" t="s">
        <v>29</v>
      </c>
      <c r="D194" s="71" t="s">
        <v>18</v>
      </c>
      <c r="E194" s="71">
        <v>0.07</v>
      </c>
      <c r="F194" s="71">
        <v>25</v>
      </c>
      <c r="G194" s="71">
        <v>4.03</v>
      </c>
      <c r="H194" s="71">
        <v>0</v>
      </c>
      <c r="I194" s="71">
        <v>3.1</v>
      </c>
      <c r="J194" s="71">
        <v>172699.95</v>
      </c>
      <c r="K194" s="71">
        <v>819660.59</v>
      </c>
      <c r="L194" s="71">
        <v>57948.88</v>
      </c>
      <c r="M194" s="71">
        <v>10741</v>
      </c>
      <c r="N194" s="71">
        <v>90.1</v>
      </c>
      <c r="O194" s="71">
        <v>0</v>
      </c>
      <c r="P194" s="71">
        <v>0</v>
      </c>
      <c r="Q194" s="71">
        <v>0</v>
      </c>
      <c r="R194" s="71">
        <v>0</v>
      </c>
      <c r="S194" s="71">
        <v>0</v>
      </c>
      <c r="T194" s="71">
        <v>1</v>
      </c>
      <c r="U194">
        <v>802011.273405733</v>
      </c>
      <c r="V194">
        <v>23627.9433109886</v>
      </c>
    </row>
    <row r="195" customFormat="1" spans="1:22">
      <c r="A195" s="71" t="s">
        <v>70</v>
      </c>
      <c r="B195" s="177">
        <v>45658</v>
      </c>
      <c r="C195" s="71" t="s">
        <v>22</v>
      </c>
      <c r="D195" s="71" t="s">
        <v>20</v>
      </c>
      <c r="E195" s="71">
        <v>0.072</v>
      </c>
      <c r="F195" s="71">
        <v>13</v>
      </c>
      <c r="G195" s="71">
        <v>2.34</v>
      </c>
      <c r="H195" s="71">
        <v>0</v>
      </c>
      <c r="I195" s="71">
        <v>4.4</v>
      </c>
      <c r="J195" s="71">
        <v>117645.61</v>
      </c>
      <c r="K195" s="71">
        <v>681855.56</v>
      </c>
      <c r="L195" s="71">
        <v>71941.62</v>
      </c>
      <c r="M195" s="71">
        <v>6084</v>
      </c>
      <c r="N195" s="71">
        <v>93.7</v>
      </c>
      <c r="O195" s="71">
        <v>0</v>
      </c>
      <c r="P195" s="71">
        <v>0</v>
      </c>
      <c r="Q195" s="71">
        <v>0</v>
      </c>
      <c r="R195" s="71">
        <v>0</v>
      </c>
      <c r="S195" s="71">
        <v>0</v>
      </c>
      <c r="T195" s="71">
        <v>1</v>
      </c>
      <c r="U195">
        <v>845189.946220823</v>
      </c>
      <c r="V195">
        <v>125900.471547244</v>
      </c>
    </row>
    <row r="196" customFormat="1" spans="1:22">
      <c r="A196" s="71" t="s">
        <v>70</v>
      </c>
      <c r="B196" s="177">
        <v>45689</v>
      </c>
      <c r="C196" s="71" t="s">
        <v>22</v>
      </c>
      <c r="D196" s="71" t="s">
        <v>20</v>
      </c>
      <c r="E196" s="71">
        <v>0.161</v>
      </c>
      <c r="F196" s="71">
        <v>15</v>
      </c>
      <c r="G196" s="71">
        <v>8.51</v>
      </c>
      <c r="H196" s="71">
        <v>0</v>
      </c>
      <c r="I196" s="71">
        <v>4.4</v>
      </c>
      <c r="J196" s="71">
        <v>132029.76</v>
      </c>
      <c r="K196" s="71">
        <v>678311.17</v>
      </c>
      <c r="L196" s="71">
        <v>57147.88</v>
      </c>
      <c r="M196" s="71">
        <v>5252</v>
      </c>
      <c r="N196" s="71">
        <v>95.5</v>
      </c>
      <c r="O196" s="71">
        <v>0</v>
      </c>
      <c r="P196" s="71">
        <v>0</v>
      </c>
      <c r="Q196" s="71">
        <v>1</v>
      </c>
      <c r="R196" s="71">
        <v>0</v>
      </c>
      <c r="S196" s="71">
        <v>0</v>
      </c>
      <c r="T196" s="71">
        <v>0</v>
      </c>
      <c r="U196">
        <v>865579.708747926</v>
      </c>
      <c r="V196">
        <v>70552.2259805264</v>
      </c>
    </row>
    <row r="197" customFormat="1" spans="1:22">
      <c r="A197" s="71" t="s">
        <v>70</v>
      </c>
      <c r="B197" s="177">
        <v>45717</v>
      </c>
      <c r="C197" s="71" t="s">
        <v>22</v>
      </c>
      <c r="D197" s="71" t="s">
        <v>20</v>
      </c>
      <c r="E197" s="71">
        <v>0.067</v>
      </c>
      <c r="F197" s="71">
        <v>14</v>
      </c>
      <c r="G197" s="71">
        <v>0.48</v>
      </c>
      <c r="H197" s="71">
        <v>1</v>
      </c>
      <c r="I197" s="71">
        <v>4.3</v>
      </c>
      <c r="J197" s="71">
        <v>114005.9</v>
      </c>
      <c r="K197" s="71">
        <v>765906.95</v>
      </c>
      <c r="L197" s="71">
        <v>48031.74</v>
      </c>
      <c r="M197" s="71">
        <v>6516</v>
      </c>
      <c r="N197" s="71">
        <v>99</v>
      </c>
      <c r="O197" s="71">
        <v>0</v>
      </c>
      <c r="P197" s="71">
        <v>0</v>
      </c>
      <c r="Q197" s="71">
        <v>1</v>
      </c>
      <c r="R197" s="71">
        <v>0</v>
      </c>
      <c r="S197" s="71">
        <v>0</v>
      </c>
      <c r="T197" s="71">
        <v>0</v>
      </c>
      <c r="U197">
        <v>675211.239884941</v>
      </c>
      <c r="V197">
        <v>-5493.1707459368</v>
      </c>
    </row>
    <row r="198" customFormat="1" spans="1:22">
      <c r="A198" s="71" t="s">
        <v>70</v>
      </c>
      <c r="B198" s="177">
        <v>45748</v>
      </c>
      <c r="C198" s="71" t="s">
        <v>22</v>
      </c>
      <c r="D198" s="71" t="s">
        <v>20</v>
      </c>
      <c r="E198" s="71">
        <v>0.094</v>
      </c>
      <c r="F198" s="71">
        <v>20</v>
      </c>
      <c r="G198" s="71">
        <v>13.62</v>
      </c>
      <c r="H198" s="71">
        <v>0</v>
      </c>
      <c r="I198" s="71">
        <v>4.2</v>
      </c>
      <c r="J198" s="71">
        <v>101480.04</v>
      </c>
      <c r="K198" s="71">
        <v>712546.38</v>
      </c>
      <c r="L198" s="71">
        <v>72784.8</v>
      </c>
      <c r="M198" s="71">
        <v>7932</v>
      </c>
      <c r="N198" s="71">
        <v>74.9</v>
      </c>
      <c r="O198" s="71">
        <v>0</v>
      </c>
      <c r="P198" s="71">
        <v>0</v>
      </c>
      <c r="Q198" s="71">
        <v>1</v>
      </c>
      <c r="R198" s="71">
        <v>0</v>
      </c>
      <c r="S198" s="71">
        <v>0</v>
      </c>
      <c r="T198" s="71">
        <v>0</v>
      </c>
      <c r="U198">
        <v>707720.463779541</v>
      </c>
      <c r="V198">
        <v>97779.2147016716</v>
      </c>
    </row>
    <row r="199" customFormat="1" spans="1:22">
      <c r="A199" s="71" t="s">
        <v>71</v>
      </c>
      <c r="B199" s="177">
        <v>45658</v>
      </c>
      <c r="C199" s="71" t="s">
        <v>17</v>
      </c>
      <c r="D199" s="71" t="s">
        <v>20</v>
      </c>
      <c r="E199" s="71">
        <v>0</v>
      </c>
      <c r="F199" s="71">
        <v>11</v>
      </c>
      <c r="G199" s="71">
        <v>7.77</v>
      </c>
      <c r="H199" s="71">
        <v>0</v>
      </c>
      <c r="I199" s="71">
        <v>4.1</v>
      </c>
      <c r="J199" s="71">
        <v>98960.32</v>
      </c>
      <c r="K199" s="71">
        <v>625993.83</v>
      </c>
      <c r="L199" s="71">
        <v>71641.9</v>
      </c>
      <c r="M199" s="71">
        <v>3506</v>
      </c>
      <c r="N199" s="71">
        <v>86.4</v>
      </c>
      <c r="O199" s="71">
        <v>0</v>
      </c>
      <c r="P199" s="71">
        <v>0</v>
      </c>
      <c r="Q199" s="71">
        <v>1</v>
      </c>
      <c r="R199" s="71">
        <v>0</v>
      </c>
      <c r="S199" s="71">
        <v>0</v>
      </c>
      <c r="T199" s="71">
        <v>0</v>
      </c>
      <c r="U199">
        <v>795647.90537747</v>
      </c>
      <c r="V199">
        <v>144209.176522229</v>
      </c>
    </row>
    <row r="200" customFormat="1" spans="1:22">
      <c r="A200" s="71" t="s">
        <v>71</v>
      </c>
      <c r="B200" s="177">
        <v>45689</v>
      </c>
      <c r="C200" s="71" t="s">
        <v>17</v>
      </c>
      <c r="D200" s="71" t="s">
        <v>20</v>
      </c>
      <c r="E200" s="71">
        <v>0.058</v>
      </c>
      <c r="F200" s="71">
        <v>10</v>
      </c>
      <c r="G200" s="71">
        <v>1.99</v>
      </c>
      <c r="H200" s="71">
        <v>0</v>
      </c>
      <c r="I200" s="71">
        <v>3.8</v>
      </c>
      <c r="J200" s="71">
        <v>97144.58</v>
      </c>
      <c r="K200" s="71">
        <v>550962.93</v>
      </c>
      <c r="L200" s="71">
        <v>55788.61</v>
      </c>
      <c r="M200" s="71">
        <v>2312</v>
      </c>
      <c r="N200" s="71">
        <v>91.3</v>
      </c>
      <c r="O200" s="71">
        <v>0</v>
      </c>
      <c r="P200" s="71">
        <v>0</v>
      </c>
      <c r="Q200" s="71">
        <v>1</v>
      </c>
      <c r="R200" s="71">
        <v>0</v>
      </c>
      <c r="S200" s="71">
        <v>0</v>
      </c>
      <c r="T200" s="71">
        <v>1</v>
      </c>
      <c r="U200">
        <v>826569.59310044</v>
      </c>
      <c r="V200">
        <v>146586.527933173</v>
      </c>
    </row>
    <row r="201" customFormat="1" spans="1:22">
      <c r="A201" s="71" t="s">
        <v>71</v>
      </c>
      <c r="B201" s="177">
        <v>45717</v>
      </c>
      <c r="C201" s="71" t="s">
        <v>17</v>
      </c>
      <c r="D201" s="71" t="s">
        <v>20</v>
      </c>
      <c r="E201" s="71">
        <v>0.259</v>
      </c>
      <c r="F201" s="71">
        <v>9</v>
      </c>
      <c r="G201" s="71">
        <v>4.77</v>
      </c>
      <c r="H201" s="71">
        <v>0</v>
      </c>
      <c r="I201" s="71">
        <v>3.8</v>
      </c>
      <c r="J201" s="71">
        <v>53544.36</v>
      </c>
      <c r="K201" s="71">
        <v>443275.59</v>
      </c>
      <c r="L201" s="71">
        <v>37705.88</v>
      </c>
      <c r="M201" s="71">
        <v>1268</v>
      </c>
      <c r="N201" s="71">
        <v>84.1</v>
      </c>
      <c r="O201" s="71">
        <v>0</v>
      </c>
      <c r="P201" s="71">
        <v>0</v>
      </c>
      <c r="Q201" s="71">
        <v>1</v>
      </c>
      <c r="R201" s="71">
        <v>0</v>
      </c>
      <c r="S201" s="71">
        <v>0</v>
      </c>
      <c r="T201" s="71">
        <v>1</v>
      </c>
      <c r="U201">
        <v>726802.326865264</v>
      </c>
      <c r="V201">
        <v>-41236.9262340595</v>
      </c>
    </row>
    <row r="202" customFormat="1" spans="1:22">
      <c r="A202" s="71" t="s">
        <v>71</v>
      </c>
      <c r="B202" s="177">
        <v>45748</v>
      </c>
      <c r="C202" s="71" t="s">
        <v>17</v>
      </c>
      <c r="D202" s="71" t="s">
        <v>20</v>
      </c>
      <c r="E202" s="71">
        <v>0.186</v>
      </c>
      <c r="F202" s="71">
        <v>13</v>
      </c>
      <c r="G202" s="71">
        <v>0.2</v>
      </c>
      <c r="H202" s="71">
        <v>0</v>
      </c>
      <c r="I202" s="71">
        <v>4.4</v>
      </c>
      <c r="J202" s="71">
        <v>81101.62</v>
      </c>
      <c r="K202" s="71">
        <v>554012.07</v>
      </c>
      <c r="L202" s="71">
        <v>54966.18</v>
      </c>
      <c r="M202" s="71">
        <v>4423</v>
      </c>
      <c r="N202" s="71">
        <v>88.7</v>
      </c>
      <c r="O202" s="71">
        <v>0</v>
      </c>
      <c r="P202" s="71">
        <v>0</v>
      </c>
      <c r="Q202" s="71">
        <v>1</v>
      </c>
      <c r="R202" s="71">
        <v>0</v>
      </c>
      <c r="S202" s="71">
        <v>0</v>
      </c>
      <c r="T202" s="71">
        <v>1</v>
      </c>
      <c r="U202">
        <v>737304.46664696</v>
      </c>
      <c r="V202">
        <v>-15332.1724479708</v>
      </c>
    </row>
    <row r="203" customFormat="1" spans="1:22">
      <c r="A203" s="71" t="s">
        <v>72</v>
      </c>
      <c r="B203" s="177">
        <v>45658</v>
      </c>
      <c r="C203" s="71" t="s">
        <v>29</v>
      </c>
      <c r="D203" s="71" t="s">
        <v>18</v>
      </c>
      <c r="E203" s="71">
        <v>0.164</v>
      </c>
      <c r="F203" s="71">
        <v>14</v>
      </c>
      <c r="G203" s="71">
        <v>0.53</v>
      </c>
      <c r="H203" s="71">
        <v>0</v>
      </c>
      <c r="I203" s="71">
        <v>3.2</v>
      </c>
      <c r="J203" s="71">
        <v>94477.63</v>
      </c>
      <c r="K203" s="71">
        <v>643428.85</v>
      </c>
      <c r="L203" s="71">
        <v>81796.74</v>
      </c>
      <c r="M203" s="71">
        <v>6177</v>
      </c>
      <c r="N203" s="71">
        <v>87.9</v>
      </c>
      <c r="O203" s="71">
        <v>0</v>
      </c>
      <c r="P203" s="71">
        <v>0</v>
      </c>
      <c r="Q203" s="71">
        <v>1</v>
      </c>
      <c r="R203" s="71">
        <v>0</v>
      </c>
      <c r="S203" s="71">
        <v>0</v>
      </c>
      <c r="T203" s="71">
        <v>1</v>
      </c>
      <c r="U203">
        <v>802130.43692448</v>
      </c>
      <c r="V203">
        <v>17649.3165942668</v>
      </c>
    </row>
    <row r="204" customFormat="1" spans="1:22">
      <c r="A204" s="71" t="s">
        <v>72</v>
      </c>
      <c r="B204" s="177">
        <v>45689</v>
      </c>
      <c r="C204" s="71" t="s">
        <v>29</v>
      </c>
      <c r="D204" s="71" t="s">
        <v>18</v>
      </c>
      <c r="E204" s="71">
        <v>0.15</v>
      </c>
      <c r="F204" s="71">
        <v>12</v>
      </c>
      <c r="G204" s="71">
        <v>1.54</v>
      </c>
      <c r="H204" s="71">
        <v>0</v>
      </c>
      <c r="I204" s="71">
        <v>3.2</v>
      </c>
      <c r="J204" s="71">
        <v>115488.75</v>
      </c>
      <c r="K204" s="71">
        <v>611924.27</v>
      </c>
      <c r="L204" s="71">
        <v>51133.43</v>
      </c>
      <c r="M204" s="71">
        <v>5150</v>
      </c>
      <c r="N204" s="71">
        <v>88.5</v>
      </c>
      <c r="O204" s="71">
        <v>1</v>
      </c>
      <c r="P204" s="71">
        <v>0</v>
      </c>
      <c r="Q204" s="71">
        <v>0</v>
      </c>
      <c r="R204" s="71">
        <v>1</v>
      </c>
      <c r="S204" s="71">
        <v>0</v>
      </c>
      <c r="T204" s="71">
        <v>0</v>
      </c>
      <c r="U204">
        <v>671734.246279747</v>
      </c>
      <c r="V204">
        <v>-163334.386220823</v>
      </c>
    </row>
    <row r="205" customFormat="1" spans="1:22">
      <c r="A205" s="71" t="s">
        <v>72</v>
      </c>
      <c r="B205" s="177">
        <v>45717</v>
      </c>
      <c r="C205" s="71" t="s">
        <v>29</v>
      </c>
      <c r="D205" s="71" t="s">
        <v>18</v>
      </c>
      <c r="E205" s="71">
        <v>0.089</v>
      </c>
      <c r="F205" s="71">
        <v>14</v>
      </c>
      <c r="G205" s="71">
        <v>3.63</v>
      </c>
      <c r="H205" s="71">
        <v>0</v>
      </c>
      <c r="I205" s="71">
        <v>3.7</v>
      </c>
      <c r="J205" s="71">
        <v>73528.74</v>
      </c>
      <c r="K205" s="71">
        <v>559422.02</v>
      </c>
      <c r="L205" s="71">
        <v>40220.18</v>
      </c>
      <c r="M205" s="71">
        <v>3783</v>
      </c>
      <c r="N205" s="71">
        <v>86.6</v>
      </c>
      <c r="O205" s="71">
        <v>1</v>
      </c>
      <c r="P205" s="71">
        <v>0</v>
      </c>
      <c r="Q205" s="71">
        <v>0</v>
      </c>
      <c r="R205" s="71">
        <v>1</v>
      </c>
      <c r="S205" s="71">
        <v>0</v>
      </c>
      <c r="T205" s="71">
        <v>0</v>
      </c>
      <c r="U205">
        <v>689876.399543265</v>
      </c>
      <c r="V205">
        <v>-187268.538747926</v>
      </c>
    </row>
    <row r="206" customFormat="1" spans="1:22">
      <c r="A206" s="71" t="s">
        <v>72</v>
      </c>
      <c r="B206" s="177">
        <v>45748</v>
      </c>
      <c r="C206" s="71" t="s">
        <v>29</v>
      </c>
      <c r="D206" s="71" t="s">
        <v>18</v>
      </c>
      <c r="E206" s="71">
        <v>0.229</v>
      </c>
      <c r="F206" s="71">
        <v>7</v>
      </c>
      <c r="G206" s="71">
        <v>13.48</v>
      </c>
      <c r="H206" s="71">
        <v>0</v>
      </c>
      <c r="I206" s="71">
        <v>3.95</v>
      </c>
      <c r="J206" s="71">
        <v>65694.78</v>
      </c>
      <c r="K206" s="71">
        <v>449465.06</v>
      </c>
      <c r="L206" s="71">
        <v>41657.64</v>
      </c>
      <c r="M206" s="71">
        <v>3135</v>
      </c>
      <c r="N206" s="71">
        <v>85.4</v>
      </c>
      <c r="O206" s="71">
        <v>1</v>
      </c>
      <c r="P206" s="71">
        <v>0</v>
      </c>
      <c r="Q206" s="71">
        <v>0</v>
      </c>
      <c r="R206" s="71">
        <v>1</v>
      </c>
      <c r="S206" s="71">
        <v>0</v>
      </c>
      <c r="T206" s="71">
        <v>0</v>
      </c>
      <c r="U206">
        <v>732206.412872532</v>
      </c>
      <c r="V206">
        <v>90695.7101150593</v>
      </c>
    </row>
    <row r="207" customFormat="1" spans="1:22">
      <c r="A207" s="71" t="s">
        <v>73</v>
      </c>
      <c r="B207" s="177">
        <v>45658</v>
      </c>
      <c r="C207" s="71" t="s">
        <v>22</v>
      </c>
      <c r="D207" s="71" t="s">
        <v>18</v>
      </c>
      <c r="E207" s="71">
        <v>0.098</v>
      </c>
      <c r="F207" s="71">
        <v>11</v>
      </c>
      <c r="G207" s="71">
        <v>0.2</v>
      </c>
      <c r="H207" s="71">
        <v>0</v>
      </c>
      <c r="I207" s="71">
        <v>4.2</v>
      </c>
      <c r="J207" s="71">
        <v>114077.69</v>
      </c>
      <c r="K207" s="71">
        <v>691447.43</v>
      </c>
      <c r="L207" s="71">
        <v>71851.45</v>
      </c>
      <c r="M207" s="71">
        <v>4970</v>
      </c>
      <c r="N207" s="71">
        <v>89.6</v>
      </c>
      <c r="O207" s="71">
        <v>1</v>
      </c>
      <c r="P207" s="71">
        <v>0</v>
      </c>
      <c r="Q207" s="71">
        <v>0</v>
      </c>
      <c r="R207" s="71">
        <v>1</v>
      </c>
      <c r="S207" s="71">
        <v>0</v>
      </c>
      <c r="T207" s="71">
        <v>0</v>
      </c>
      <c r="U207">
        <v>738200.781188564</v>
      </c>
      <c r="V207">
        <v>4825.91622045916</v>
      </c>
    </row>
    <row r="208" customFormat="1" spans="1:22">
      <c r="A208" s="71" t="s">
        <v>73</v>
      </c>
      <c r="B208" s="177">
        <v>45689</v>
      </c>
      <c r="C208" s="71" t="s">
        <v>22</v>
      </c>
      <c r="D208" s="71" t="s">
        <v>18</v>
      </c>
      <c r="E208" s="71">
        <v>0.027</v>
      </c>
      <c r="F208" s="71">
        <v>15</v>
      </c>
      <c r="G208" s="71">
        <v>12.82</v>
      </c>
      <c r="H208" s="71">
        <v>0</v>
      </c>
      <c r="I208" s="71">
        <v>4.6</v>
      </c>
      <c r="J208" s="71">
        <v>124674.67</v>
      </c>
      <c r="K208" s="71">
        <v>574066.61</v>
      </c>
      <c r="L208" s="71">
        <v>54002.83</v>
      </c>
      <c r="M208" s="71">
        <v>4366</v>
      </c>
      <c r="N208" s="71">
        <v>90.6</v>
      </c>
      <c r="O208" s="71">
        <v>0</v>
      </c>
      <c r="P208" s="71">
        <v>0</v>
      </c>
      <c r="Q208" s="71">
        <v>0</v>
      </c>
      <c r="R208" s="71">
        <v>1</v>
      </c>
      <c r="S208" s="71">
        <v>0</v>
      </c>
      <c r="T208" s="71">
        <v>0</v>
      </c>
      <c r="U208">
        <v>621033.687238354</v>
      </c>
      <c r="V208">
        <v>-169654.07537747</v>
      </c>
    </row>
    <row r="209" customFormat="1" spans="1:22">
      <c r="A209" s="71" t="s">
        <v>73</v>
      </c>
      <c r="B209" s="177">
        <v>45717</v>
      </c>
      <c r="C209" s="71" t="s">
        <v>22</v>
      </c>
      <c r="D209" s="71" t="s">
        <v>18</v>
      </c>
      <c r="E209" s="71">
        <v>0.284</v>
      </c>
      <c r="F209" s="71">
        <v>13</v>
      </c>
      <c r="G209" s="71">
        <v>2.24</v>
      </c>
      <c r="H209" s="71">
        <v>1</v>
      </c>
      <c r="I209" s="71">
        <v>4.3</v>
      </c>
      <c r="J209" s="71">
        <v>80253.65</v>
      </c>
      <c r="K209" s="71">
        <v>578949.84</v>
      </c>
      <c r="L209" s="71">
        <v>54479.33</v>
      </c>
      <c r="M209" s="71">
        <v>5012</v>
      </c>
      <c r="N209" s="71">
        <v>86</v>
      </c>
      <c r="O209" s="71">
        <v>0</v>
      </c>
      <c r="P209" s="71">
        <v>0</v>
      </c>
      <c r="Q209" s="71">
        <v>0</v>
      </c>
      <c r="R209" s="71">
        <v>1</v>
      </c>
      <c r="S209" s="71">
        <v>0</v>
      </c>
      <c r="T209" s="71">
        <v>0</v>
      </c>
      <c r="U209">
        <v>536647.241868973</v>
      </c>
      <c r="V209">
        <v>-275606.66310044</v>
      </c>
    </row>
    <row r="210" customFormat="1" spans="1:22">
      <c r="A210" s="71" t="s">
        <v>73</v>
      </c>
      <c r="B210" s="177">
        <v>45748</v>
      </c>
      <c r="C210" s="71" t="s">
        <v>22</v>
      </c>
      <c r="D210" s="71" t="s">
        <v>18</v>
      </c>
      <c r="E210" s="71">
        <v>0.189</v>
      </c>
      <c r="F210" s="71">
        <v>18</v>
      </c>
      <c r="G210" s="71">
        <v>1.8</v>
      </c>
      <c r="H210" s="71">
        <v>0</v>
      </c>
      <c r="I210" s="71">
        <v>4.8</v>
      </c>
      <c r="J210" s="71">
        <v>126540.66</v>
      </c>
      <c r="K210" s="71">
        <v>735786.64</v>
      </c>
      <c r="L210" s="71">
        <v>61391.8</v>
      </c>
      <c r="M210" s="71">
        <v>5575</v>
      </c>
      <c r="N210" s="71">
        <v>90</v>
      </c>
      <c r="O210" s="71">
        <v>0</v>
      </c>
      <c r="P210" s="71">
        <v>0</v>
      </c>
      <c r="Q210" s="71">
        <v>0</v>
      </c>
      <c r="R210" s="71">
        <v>1</v>
      </c>
      <c r="S210" s="71">
        <v>0</v>
      </c>
      <c r="T210" s="71">
        <v>0</v>
      </c>
      <c r="U210">
        <v>458487.692464795</v>
      </c>
      <c r="V210">
        <v>-283526.736865264</v>
      </c>
    </row>
    <row r="211" customFormat="1" spans="1:22">
      <c r="A211" s="71" t="s">
        <v>74</v>
      </c>
      <c r="B211" s="177">
        <v>45658</v>
      </c>
      <c r="C211" s="71" t="s">
        <v>17</v>
      </c>
      <c r="D211" s="71" t="s">
        <v>23</v>
      </c>
      <c r="E211" s="71">
        <v>0.123</v>
      </c>
      <c r="F211" s="71">
        <v>13</v>
      </c>
      <c r="G211" s="71">
        <v>0.41</v>
      </c>
      <c r="H211" s="71">
        <v>1</v>
      </c>
      <c r="I211" s="71">
        <v>4.6</v>
      </c>
      <c r="J211" s="71">
        <v>72861</v>
      </c>
      <c r="K211" s="71">
        <v>598904.9</v>
      </c>
      <c r="L211" s="71">
        <v>22312.93</v>
      </c>
      <c r="M211" s="71">
        <v>5955</v>
      </c>
      <c r="N211" s="71">
        <v>84.2</v>
      </c>
      <c r="O211" s="71">
        <v>0</v>
      </c>
      <c r="P211" s="71">
        <v>0</v>
      </c>
      <c r="Q211" s="71">
        <v>0</v>
      </c>
      <c r="R211" s="71">
        <v>1</v>
      </c>
      <c r="S211" s="71">
        <v>0</v>
      </c>
      <c r="T211" s="71">
        <v>0</v>
      </c>
      <c r="U211">
        <v>599448.662072782</v>
      </c>
      <c r="V211">
        <v>-183292.39664696</v>
      </c>
    </row>
    <row r="212" customFormat="1" spans="1:22">
      <c r="A212" s="71" t="s">
        <v>74</v>
      </c>
      <c r="B212" s="177">
        <v>45689</v>
      </c>
      <c r="C212" s="71" t="s">
        <v>17</v>
      </c>
      <c r="D212" s="71" t="s">
        <v>23</v>
      </c>
      <c r="E212" s="71">
        <v>0.15</v>
      </c>
      <c r="F212" s="71">
        <v>13</v>
      </c>
      <c r="G212" s="71">
        <v>3.05</v>
      </c>
      <c r="H212" s="71">
        <v>0</v>
      </c>
      <c r="I212" s="71">
        <v>4.8</v>
      </c>
      <c r="J212" s="71">
        <v>128969.62</v>
      </c>
      <c r="K212" s="71">
        <v>787715.51</v>
      </c>
      <c r="L212" s="71">
        <v>78111.97</v>
      </c>
      <c r="M212" s="71">
        <v>6389</v>
      </c>
      <c r="N212" s="71">
        <v>83.9</v>
      </c>
      <c r="O212" s="71">
        <v>0</v>
      </c>
      <c r="P212" s="71">
        <v>0</v>
      </c>
      <c r="Q212" s="71">
        <v>1</v>
      </c>
      <c r="R212" s="71">
        <v>0</v>
      </c>
      <c r="S212" s="71">
        <v>0</v>
      </c>
      <c r="T212" s="71">
        <v>1</v>
      </c>
      <c r="U212">
        <v>688354.066865847</v>
      </c>
      <c r="V212">
        <v>-158701.58692448</v>
      </c>
    </row>
    <row r="213" customFormat="1" spans="1:22">
      <c r="A213" s="71" t="s">
        <v>74</v>
      </c>
      <c r="B213" s="177">
        <v>45717</v>
      </c>
      <c r="C213" s="71" t="s">
        <v>17</v>
      </c>
      <c r="D213" s="71" t="s">
        <v>23</v>
      </c>
      <c r="E213" s="71">
        <v>0.032</v>
      </c>
      <c r="F213" s="71">
        <v>14</v>
      </c>
      <c r="G213" s="71">
        <v>8.44</v>
      </c>
      <c r="H213" s="71">
        <v>1</v>
      </c>
      <c r="I213" s="71">
        <v>5</v>
      </c>
      <c r="J213" s="71">
        <v>98558.49</v>
      </c>
      <c r="K213" s="71">
        <v>607084.92</v>
      </c>
      <c r="L213" s="71">
        <v>35203.23</v>
      </c>
      <c r="M213" s="71">
        <v>6896</v>
      </c>
      <c r="N213" s="71">
        <v>80.8</v>
      </c>
      <c r="O213" s="71">
        <v>0</v>
      </c>
      <c r="P213" s="71">
        <v>0</v>
      </c>
      <c r="Q213" s="71">
        <v>1</v>
      </c>
      <c r="R213" s="71">
        <v>0</v>
      </c>
      <c r="S213" s="71">
        <v>0</v>
      </c>
      <c r="T213" s="71">
        <v>1</v>
      </c>
      <c r="U213">
        <v>624918.010844936</v>
      </c>
      <c r="V213">
        <v>-59809.9762797471</v>
      </c>
    </row>
    <row r="214" customFormat="1" spans="1:22">
      <c r="A214" s="71" t="s">
        <v>74</v>
      </c>
      <c r="B214" s="177">
        <v>45748</v>
      </c>
      <c r="C214" s="71" t="s">
        <v>17</v>
      </c>
      <c r="D214" s="71" t="s">
        <v>23</v>
      </c>
      <c r="E214" s="71">
        <v>0.127</v>
      </c>
      <c r="F214" s="71">
        <v>15</v>
      </c>
      <c r="G214" s="71">
        <v>0.78</v>
      </c>
      <c r="H214" s="71">
        <v>0</v>
      </c>
      <c r="I214" s="71">
        <v>4</v>
      </c>
      <c r="J214" s="71">
        <v>103035.89</v>
      </c>
      <c r="K214" s="71">
        <v>650795.49</v>
      </c>
      <c r="L214" s="71">
        <v>64104.28</v>
      </c>
      <c r="M214" s="71">
        <v>6015</v>
      </c>
      <c r="N214" s="71">
        <v>88.7</v>
      </c>
      <c r="O214" s="71">
        <v>0</v>
      </c>
      <c r="P214" s="71">
        <v>0</v>
      </c>
      <c r="Q214" s="71">
        <v>1</v>
      </c>
      <c r="R214" s="71">
        <v>0</v>
      </c>
      <c r="S214" s="71">
        <v>0</v>
      </c>
      <c r="T214" s="71">
        <v>1</v>
      </c>
      <c r="U214">
        <v>560036.384876152</v>
      </c>
      <c r="V214">
        <v>-130454.379543265</v>
      </c>
    </row>
    <row r="215" customFormat="1" spans="1:22">
      <c r="A215" s="71" t="s">
        <v>75</v>
      </c>
      <c r="B215" s="177">
        <v>45658</v>
      </c>
      <c r="C215" s="71" t="s">
        <v>17</v>
      </c>
      <c r="D215" s="71" t="s">
        <v>30</v>
      </c>
      <c r="E215" s="71">
        <v>0.07</v>
      </c>
      <c r="F215" s="71">
        <v>24</v>
      </c>
      <c r="G215" s="71">
        <v>0.87</v>
      </c>
      <c r="H215" s="71">
        <v>0</v>
      </c>
      <c r="I215" s="71">
        <v>3.7</v>
      </c>
      <c r="J215" s="71">
        <v>143613.15</v>
      </c>
      <c r="K215" s="71">
        <v>825060.52</v>
      </c>
      <c r="L215" s="71">
        <v>92090.14</v>
      </c>
      <c r="M215" s="71">
        <v>9476</v>
      </c>
      <c r="N215" s="71">
        <v>94.3</v>
      </c>
      <c r="O215" s="71">
        <v>0</v>
      </c>
      <c r="P215" s="71">
        <v>0</v>
      </c>
      <c r="Q215" s="71">
        <v>1</v>
      </c>
      <c r="R215" s="71">
        <v>0</v>
      </c>
      <c r="S215" s="71">
        <v>0</v>
      </c>
      <c r="T215" s="71">
        <v>1</v>
      </c>
      <c r="U215">
        <v>536249.918341826</v>
      </c>
      <c r="V215">
        <v>-282741.352872532</v>
      </c>
    </row>
    <row r="216" customFormat="1" spans="1:22">
      <c r="A216" s="71" t="s">
        <v>75</v>
      </c>
      <c r="B216" s="177">
        <v>45689</v>
      </c>
      <c r="C216" s="71" t="s">
        <v>17</v>
      </c>
      <c r="D216" s="71" t="s">
        <v>30</v>
      </c>
      <c r="E216" s="71">
        <v>0.107</v>
      </c>
      <c r="F216" s="71">
        <v>19</v>
      </c>
      <c r="G216" s="71">
        <v>0.95</v>
      </c>
      <c r="H216" s="71">
        <v>0</v>
      </c>
      <c r="I216" s="71">
        <v>3.7</v>
      </c>
      <c r="J216" s="71">
        <v>161150.52</v>
      </c>
      <c r="K216" s="71">
        <v>795464.47</v>
      </c>
      <c r="L216" s="71">
        <v>54300.87</v>
      </c>
      <c r="M216" s="71">
        <v>7875</v>
      </c>
      <c r="N216" s="71">
        <v>94.1</v>
      </c>
      <c r="O216" s="71">
        <v>1</v>
      </c>
      <c r="P216" s="71">
        <v>0</v>
      </c>
      <c r="Q216" s="71">
        <v>0</v>
      </c>
      <c r="R216" s="71">
        <v>0</v>
      </c>
      <c r="S216" s="71">
        <v>0</v>
      </c>
      <c r="T216" s="71">
        <v>1</v>
      </c>
      <c r="U216">
        <v>646701.066105185</v>
      </c>
      <c r="V216">
        <v>-46753.3511885639</v>
      </c>
    </row>
    <row r="217" customFormat="1" spans="1:22">
      <c r="A217" s="71" t="s">
        <v>75</v>
      </c>
      <c r="B217" s="177">
        <v>45717</v>
      </c>
      <c r="C217" s="71" t="s">
        <v>17</v>
      </c>
      <c r="D217" s="71" t="s">
        <v>30</v>
      </c>
      <c r="E217" s="71">
        <v>0.149</v>
      </c>
      <c r="F217" s="71">
        <v>19</v>
      </c>
      <c r="G217" s="71">
        <v>3.82</v>
      </c>
      <c r="H217" s="71">
        <v>0</v>
      </c>
      <c r="I217" s="71">
        <v>3.7</v>
      </c>
      <c r="J217" s="71">
        <v>71003.28</v>
      </c>
      <c r="K217" s="71">
        <v>671868.59</v>
      </c>
      <c r="L217" s="71">
        <v>37983.35</v>
      </c>
      <c r="M217" s="71">
        <v>9283</v>
      </c>
      <c r="N217" s="71">
        <v>83.2</v>
      </c>
      <c r="O217" s="71">
        <v>1</v>
      </c>
      <c r="P217" s="71">
        <v>0</v>
      </c>
      <c r="Q217" s="71">
        <v>0</v>
      </c>
      <c r="R217" s="71">
        <v>0</v>
      </c>
      <c r="S217" s="71">
        <v>0</v>
      </c>
      <c r="T217" s="71">
        <v>1</v>
      </c>
      <c r="U217">
        <v>599641.928876653</v>
      </c>
      <c r="V217">
        <v>-46967.0772383545</v>
      </c>
    </row>
    <row r="218" customFormat="1" spans="1:22">
      <c r="A218" s="71" t="s">
        <v>75</v>
      </c>
      <c r="B218" s="177">
        <v>45748</v>
      </c>
      <c r="C218" s="71" t="s">
        <v>17</v>
      </c>
      <c r="D218" s="71" t="s">
        <v>30</v>
      </c>
      <c r="E218" s="71">
        <v>0.116</v>
      </c>
      <c r="F218" s="71">
        <v>18</v>
      </c>
      <c r="G218" s="71">
        <v>2.7</v>
      </c>
      <c r="H218" s="71">
        <v>0</v>
      </c>
      <c r="I218" s="71">
        <v>3.7</v>
      </c>
      <c r="J218" s="71">
        <v>112564.75</v>
      </c>
      <c r="K218" s="71">
        <v>675917.63</v>
      </c>
      <c r="L218" s="71">
        <v>56413.83</v>
      </c>
      <c r="M218" s="71">
        <v>8303</v>
      </c>
      <c r="N218" s="71">
        <v>93.6</v>
      </c>
      <c r="O218" s="71">
        <v>1</v>
      </c>
      <c r="P218" s="71">
        <v>0</v>
      </c>
      <c r="Q218" s="71">
        <v>0</v>
      </c>
      <c r="R218" s="71">
        <v>0</v>
      </c>
      <c r="S218" s="71">
        <v>0</v>
      </c>
      <c r="T218" s="71">
        <v>1</v>
      </c>
      <c r="U218">
        <v>608459.77562985</v>
      </c>
      <c r="V218">
        <v>42302.5981310274</v>
      </c>
    </row>
    <row r="219" customFormat="1" spans="1:22">
      <c r="A219" s="71" t="s">
        <v>76</v>
      </c>
      <c r="B219" s="177">
        <v>45658</v>
      </c>
      <c r="C219" s="71" t="s">
        <v>17</v>
      </c>
      <c r="D219" s="71" t="s">
        <v>20</v>
      </c>
      <c r="E219" s="71">
        <v>0.097</v>
      </c>
      <c r="F219" s="71">
        <v>24</v>
      </c>
      <c r="G219" s="71">
        <v>3.84</v>
      </c>
      <c r="H219" s="71">
        <v>1</v>
      </c>
      <c r="I219" s="71">
        <v>3.7</v>
      </c>
      <c r="J219" s="71">
        <v>200575.34</v>
      </c>
      <c r="K219" s="71">
        <v>810446.53</v>
      </c>
      <c r="L219" s="71">
        <v>63457.19</v>
      </c>
      <c r="M219" s="71">
        <v>10125</v>
      </c>
      <c r="N219" s="71">
        <v>87</v>
      </c>
      <c r="O219" s="71">
        <v>1</v>
      </c>
      <c r="P219" s="71">
        <v>0</v>
      </c>
      <c r="Q219" s="71">
        <v>0</v>
      </c>
      <c r="R219" s="71">
        <v>0</v>
      </c>
      <c r="S219" s="71">
        <v>0</v>
      </c>
      <c r="T219" s="71">
        <v>1</v>
      </c>
      <c r="U219">
        <v>647582.421612269</v>
      </c>
      <c r="V219">
        <v>277298.947535205</v>
      </c>
    </row>
    <row r="220" customFormat="1" spans="1:22">
      <c r="A220" s="71" t="s">
        <v>76</v>
      </c>
      <c r="B220" s="177">
        <v>45689</v>
      </c>
      <c r="C220" s="71" t="s">
        <v>17</v>
      </c>
      <c r="D220" s="71" t="s">
        <v>20</v>
      </c>
      <c r="E220" s="71">
        <v>0.171</v>
      </c>
      <c r="F220" s="71">
        <v>19</v>
      </c>
      <c r="G220" s="71">
        <v>5.09</v>
      </c>
      <c r="H220" s="71">
        <v>0</v>
      </c>
      <c r="I220" s="71">
        <v>3.3</v>
      </c>
      <c r="J220" s="71">
        <v>159074.14</v>
      </c>
      <c r="K220" s="71">
        <v>691288.19</v>
      </c>
      <c r="L220" s="71">
        <v>62949.7</v>
      </c>
      <c r="M220" s="71">
        <v>9458</v>
      </c>
      <c r="N220" s="71">
        <v>84.9</v>
      </c>
      <c r="O220" s="71">
        <v>0</v>
      </c>
      <c r="P220" s="71">
        <v>0</v>
      </c>
      <c r="Q220" s="71">
        <v>0</v>
      </c>
      <c r="R220" s="71">
        <v>0</v>
      </c>
      <c r="S220" s="71">
        <v>0</v>
      </c>
      <c r="T220" s="71">
        <v>0</v>
      </c>
      <c r="U220">
        <v>596834.094745758</v>
      </c>
      <c r="V220">
        <v>-543.762072781916</v>
      </c>
    </row>
    <row r="221" customFormat="1" spans="1:22">
      <c r="A221" s="71" t="s">
        <v>76</v>
      </c>
      <c r="B221" s="177">
        <v>45717</v>
      </c>
      <c r="C221" s="71" t="s">
        <v>17</v>
      </c>
      <c r="D221" s="71" t="s">
        <v>20</v>
      </c>
      <c r="E221" s="71">
        <v>0.029</v>
      </c>
      <c r="F221" s="71">
        <v>31</v>
      </c>
      <c r="G221" s="71">
        <v>3.82</v>
      </c>
      <c r="H221" s="71">
        <v>1</v>
      </c>
      <c r="I221" s="71">
        <v>3.7</v>
      </c>
      <c r="J221" s="71">
        <v>184540.31</v>
      </c>
      <c r="K221" s="71">
        <v>946833.54</v>
      </c>
      <c r="L221" s="71">
        <v>107970.19</v>
      </c>
      <c r="M221" s="71">
        <v>12870</v>
      </c>
      <c r="N221" s="71">
        <v>91.7</v>
      </c>
      <c r="O221" s="71">
        <v>0</v>
      </c>
      <c r="P221" s="71">
        <v>0</v>
      </c>
      <c r="Q221" s="71">
        <v>0</v>
      </c>
      <c r="R221" s="71">
        <v>0</v>
      </c>
      <c r="S221" s="71">
        <v>0</v>
      </c>
      <c r="T221" s="71">
        <v>0</v>
      </c>
      <c r="U221">
        <v>679308.438883281</v>
      </c>
      <c r="V221">
        <v>99361.4431341534</v>
      </c>
    </row>
    <row r="222" customFormat="1" spans="1:22">
      <c r="A222" s="71" t="s">
        <v>76</v>
      </c>
      <c r="B222" s="177">
        <v>45748</v>
      </c>
      <c r="C222" s="71" t="s">
        <v>17</v>
      </c>
      <c r="D222" s="71" t="s">
        <v>20</v>
      </c>
      <c r="E222" s="71">
        <v>0.093</v>
      </c>
      <c r="F222" s="71">
        <v>21</v>
      </c>
      <c r="G222" s="71">
        <v>12.28</v>
      </c>
      <c r="H222" s="71">
        <v>0</v>
      </c>
      <c r="I222" s="71">
        <v>4.1</v>
      </c>
      <c r="J222" s="71">
        <v>150113.61</v>
      </c>
      <c r="K222" s="71">
        <v>761963.23</v>
      </c>
      <c r="L222" s="71">
        <v>49405.75</v>
      </c>
      <c r="M222" s="71">
        <v>9752</v>
      </c>
      <c r="N222" s="71">
        <v>87</v>
      </c>
      <c r="O222" s="71">
        <v>0</v>
      </c>
      <c r="P222" s="71">
        <v>0</v>
      </c>
      <c r="Q222" s="71">
        <v>0</v>
      </c>
      <c r="R222" s="71">
        <v>0</v>
      </c>
      <c r="S222" s="71">
        <v>0</v>
      </c>
      <c r="T222" s="71">
        <v>0</v>
      </c>
      <c r="U222">
        <v>636304.482523235</v>
      </c>
      <c r="V222">
        <v>-17833.0908449356</v>
      </c>
    </row>
    <row r="223" customFormat="1" spans="1:22">
      <c r="A223" s="71" t="s">
        <v>77</v>
      </c>
      <c r="B223" s="177">
        <v>45658</v>
      </c>
      <c r="C223" s="71" t="s">
        <v>29</v>
      </c>
      <c r="D223" s="71" t="s">
        <v>18</v>
      </c>
      <c r="E223" s="71">
        <v>0.091</v>
      </c>
      <c r="F223" s="71">
        <v>25</v>
      </c>
      <c r="G223" s="71">
        <v>2.8</v>
      </c>
      <c r="H223" s="71">
        <v>0</v>
      </c>
      <c r="I223" s="71">
        <v>4.3</v>
      </c>
      <c r="J223" s="71">
        <v>138419.43</v>
      </c>
      <c r="K223" s="71">
        <v>812152.6</v>
      </c>
      <c r="L223" s="71">
        <v>50887.46</v>
      </c>
      <c r="M223" s="71">
        <v>9505</v>
      </c>
      <c r="N223" s="71">
        <v>89.7</v>
      </c>
      <c r="O223" s="71">
        <v>0</v>
      </c>
      <c r="P223" s="71">
        <v>0</v>
      </c>
      <c r="Q223" s="71">
        <v>0</v>
      </c>
      <c r="R223" s="71">
        <v>0</v>
      </c>
      <c r="S223" s="71">
        <v>0</v>
      </c>
      <c r="T223" s="71">
        <v>0</v>
      </c>
      <c r="U223">
        <v>664212.818101847</v>
      </c>
      <c r="V223">
        <v>90759.1051238481</v>
      </c>
    </row>
    <row r="224" customFormat="1" spans="1:22">
      <c r="A224" s="71" t="s">
        <v>77</v>
      </c>
      <c r="B224" s="177">
        <v>45689</v>
      </c>
      <c r="C224" s="71" t="s">
        <v>29</v>
      </c>
      <c r="D224" s="71" t="s">
        <v>18</v>
      </c>
      <c r="E224" s="71">
        <v>0.15</v>
      </c>
      <c r="F224" s="71">
        <v>22</v>
      </c>
      <c r="G224" s="71">
        <v>3.67</v>
      </c>
      <c r="H224" s="71">
        <v>0</v>
      </c>
      <c r="I224" s="71">
        <v>4.2</v>
      </c>
      <c r="J224" s="71">
        <v>140054.5</v>
      </c>
      <c r="K224" s="71">
        <v>804975.5</v>
      </c>
      <c r="L224" s="71">
        <v>41819.45</v>
      </c>
      <c r="M224" s="71">
        <v>9412</v>
      </c>
      <c r="N224" s="71">
        <v>91</v>
      </c>
      <c r="O224" s="71">
        <v>0</v>
      </c>
      <c r="P224" s="71">
        <v>0</v>
      </c>
      <c r="Q224" s="71">
        <v>0</v>
      </c>
      <c r="R224" s="71">
        <v>0</v>
      </c>
      <c r="S224" s="71">
        <v>1</v>
      </c>
      <c r="T224" s="71">
        <v>0</v>
      </c>
      <c r="U224">
        <v>831241.965663304</v>
      </c>
      <c r="V224">
        <v>288810.601658174</v>
      </c>
    </row>
    <row r="225" customFormat="1" spans="1:22">
      <c r="A225" s="71" t="s">
        <v>77</v>
      </c>
      <c r="B225" s="177">
        <v>45717</v>
      </c>
      <c r="C225" s="71" t="s">
        <v>29</v>
      </c>
      <c r="D225" s="71" t="s">
        <v>18</v>
      </c>
      <c r="E225" s="71">
        <v>0</v>
      </c>
      <c r="F225" s="71">
        <v>22</v>
      </c>
      <c r="G225" s="71">
        <v>2.81</v>
      </c>
      <c r="H225" s="71">
        <v>0</v>
      </c>
      <c r="I225" s="71">
        <v>4.7</v>
      </c>
      <c r="J225" s="71">
        <v>137788.51</v>
      </c>
      <c r="K225" s="71">
        <v>752321.72</v>
      </c>
      <c r="L225" s="71">
        <v>35296.54</v>
      </c>
      <c r="M225" s="71">
        <v>9644</v>
      </c>
      <c r="N225" s="71">
        <v>88</v>
      </c>
      <c r="O225" s="71">
        <v>0</v>
      </c>
      <c r="P225" s="71">
        <v>0</v>
      </c>
      <c r="Q225" s="71">
        <v>0</v>
      </c>
      <c r="R225" s="71">
        <v>0</v>
      </c>
      <c r="S225" s="71">
        <v>1</v>
      </c>
      <c r="T225" s="71">
        <v>0</v>
      </c>
      <c r="U225">
        <v>720956.685215021</v>
      </c>
      <c r="V225">
        <v>148763.403894815</v>
      </c>
    </row>
    <row r="226" customFormat="1" spans="1:22">
      <c r="A226" s="71" t="s">
        <v>77</v>
      </c>
      <c r="B226" s="177">
        <v>45748</v>
      </c>
      <c r="C226" s="71" t="s">
        <v>29</v>
      </c>
      <c r="D226" s="71" t="s">
        <v>18</v>
      </c>
      <c r="E226" s="71">
        <v>0.147</v>
      </c>
      <c r="F226" s="71">
        <v>25</v>
      </c>
      <c r="G226" s="71">
        <v>2.44</v>
      </c>
      <c r="H226" s="71">
        <v>0</v>
      </c>
      <c r="I226" s="71">
        <v>4.9</v>
      </c>
      <c r="J226" s="71">
        <v>141090.26</v>
      </c>
      <c r="K226" s="71">
        <v>836908.24</v>
      </c>
      <c r="L226" s="71">
        <v>47391.09</v>
      </c>
      <c r="M226" s="71">
        <v>11224</v>
      </c>
      <c r="N226" s="71">
        <v>88.4</v>
      </c>
      <c r="O226" s="71">
        <v>0</v>
      </c>
      <c r="P226" s="71">
        <v>0</v>
      </c>
      <c r="Q226" s="71">
        <v>0</v>
      </c>
      <c r="R226" s="71">
        <v>0</v>
      </c>
      <c r="S226" s="71">
        <v>1</v>
      </c>
      <c r="T226" s="71">
        <v>0</v>
      </c>
      <c r="U226">
        <v>716962.397095269</v>
      </c>
      <c r="V226">
        <v>72226.6611233472</v>
      </c>
    </row>
    <row r="227" customFormat="1" spans="1:22">
      <c r="A227" s="71" t="s">
        <v>78</v>
      </c>
      <c r="B227" s="177">
        <v>45658</v>
      </c>
      <c r="C227" s="71" t="s">
        <v>22</v>
      </c>
      <c r="D227" s="71" t="s">
        <v>23</v>
      </c>
      <c r="E227" s="71">
        <v>0.126</v>
      </c>
      <c r="F227" s="71">
        <v>12</v>
      </c>
      <c r="G227" s="71">
        <v>3.27</v>
      </c>
      <c r="H227" s="71">
        <v>0</v>
      </c>
      <c r="I227" s="71">
        <v>3.3</v>
      </c>
      <c r="J227" s="71">
        <v>117773.79</v>
      </c>
      <c r="K227" s="71">
        <v>674289.1</v>
      </c>
      <c r="L227" s="71">
        <v>69180.54</v>
      </c>
      <c r="M227" s="71">
        <v>5394</v>
      </c>
      <c r="N227" s="71">
        <v>82.9</v>
      </c>
      <c r="O227" s="71">
        <v>0</v>
      </c>
      <c r="P227" s="71">
        <v>0</v>
      </c>
      <c r="Q227" s="71">
        <v>0</v>
      </c>
      <c r="R227" s="71">
        <v>0</v>
      </c>
      <c r="S227" s="71">
        <v>1</v>
      </c>
      <c r="T227" s="71">
        <v>0</v>
      </c>
      <c r="U227">
        <v>736479.002654938</v>
      </c>
      <c r="V227">
        <v>67457.8543701498</v>
      </c>
    </row>
    <row r="228" customFormat="1" spans="1:22">
      <c r="A228" s="71" t="s">
        <v>78</v>
      </c>
      <c r="B228" s="177">
        <v>45689</v>
      </c>
      <c r="C228" s="71" t="s">
        <v>22</v>
      </c>
      <c r="D228" s="71" t="s">
        <v>23</v>
      </c>
      <c r="E228" s="71">
        <v>0.246</v>
      </c>
      <c r="F228" s="71">
        <v>17</v>
      </c>
      <c r="G228" s="71">
        <v>10.34</v>
      </c>
      <c r="H228" s="71">
        <v>0</v>
      </c>
      <c r="I228" s="71">
        <v>3.9</v>
      </c>
      <c r="J228" s="71">
        <v>101032.52</v>
      </c>
      <c r="K228" s="71">
        <v>622892.42</v>
      </c>
      <c r="L228" s="71">
        <v>33987.33</v>
      </c>
      <c r="M228" s="71">
        <v>5014</v>
      </c>
      <c r="N228" s="71">
        <v>94.3</v>
      </c>
      <c r="O228" s="71">
        <v>0</v>
      </c>
      <c r="P228" s="71">
        <v>0</v>
      </c>
      <c r="Q228" s="71">
        <v>0</v>
      </c>
      <c r="R228" s="71">
        <v>1</v>
      </c>
      <c r="S228" s="71">
        <v>0</v>
      </c>
      <c r="T228" s="71">
        <v>0</v>
      </c>
      <c r="U228">
        <v>786997.228453946</v>
      </c>
      <c r="V228">
        <v>162864.108387731</v>
      </c>
    </row>
    <row r="229" customFormat="1" spans="1:22">
      <c r="A229" s="71" t="s">
        <v>78</v>
      </c>
      <c r="B229" s="177">
        <v>45717</v>
      </c>
      <c r="C229" s="71" t="s">
        <v>22</v>
      </c>
      <c r="D229" s="71" t="s">
        <v>23</v>
      </c>
      <c r="E229" s="71">
        <v>0.229</v>
      </c>
      <c r="F229" s="71">
        <v>14</v>
      </c>
      <c r="G229" s="71">
        <v>1.92</v>
      </c>
      <c r="H229" s="71">
        <v>0</v>
      </c>
      <c r="I229" s="71">
        <v>3.7</v>
      </c>
      <c r="J229" s="71">
        <v>69464.59</v>
      </c>
      <c r="K229" s="71">
        <v>673348.56</v>
      </c>
      <c r="L229" s="71">
        <v>58785.33</v>
      </c>
      <c r="M229" s="71">
        <v>4467</v>
      </c>
      <c r="N229" s="71">
        <v>90.7</v>
      </c>
      <c r="O229" s="71">
        <v>0</v>
      </c>
      <c r="P229" s="71">
        <v>0</v>
      </c>
      <c r="Q229" s="71">
        <v>0</v>
      </c>
      <c r="R229" s="71">
        <v>1</v>
      </c>
      <c r="S229" s="71">
        <v>0</v>
      </c>
      <c r="T229" s="71">
        <v>0</v>
      </c>
      <c r="U229">
        <v>788861.125391783</v>
      </c>
      <c r="V229">
        <v>94454.0952542417</v>
      </c>
    </row>
    <row r="230" customFormat="1" spans="1:22">
      <c r="A230" s="71" t="s">
        <v>78</v>
      </c>
      <c r="B230" s="177">
        <v>45748</v>
      </c>
      <c r="C230" s="71" t="s">
        <v>22</v>
      </c>
      <c r="D230" s="71" t="s">
        <v>23</v>
      </c>
      <c r="E230" s="71">
        <v>0.133</v>
      </c>
      <c r="F230" s="71">
        <v>11</v>
      </c>
      <c r="G230" s="71">
        <v>3.1</v>
      </c>
      <c r="H230" s="71">
        <v>0</v>
      </c>
      <c r="I230" s="71">
        <v>3.9</v>
      </c>
      <c r="J230" s="71">
        <v>102213.26</v>
      </c>
      <c r="K230" s="71">
        <v>606278.3</v>
      </c>
      <c r="L230" s="71">
        <v>16451.85</v>
      </c>
      <c r="M230" s="71">
        <v>4678</v>
      </c>
      <c r="N230" s="71">
        <v>95.9</v>
      </c>
      <c r="O230" s="71">
        <v>0</v>
      </c>
      <c r="P230" s="71">
        <v>0</v>
      </c>
      <c r="Q230" s="71">
        <v>0</v>
      </c>
      <c r="R230" s="71">
        <v>1</v>
      </c>
      <c r="S230" s="71">
        <v>0</v>
      </c>
      <c r="T230" s="71">
        <v>0</v>
      </c>
      <c r="U230">
        <v>978027.904965361</v>
      </c>
      <c r="V230">
        <v>267525.101116719</v>
      </c>
    </row>
    <row r="231" customFormat="1" spans="1:22">
      <c r="A231" s="71" t="s">
        <v>79</v>
      </c>
      <c r="B231" s="177">
        <v>45658</v>
      </c>
      <c r="C231" s="71" t="s">
        <v>17</v>
      </c>
      <c r="D231" s="71" t="s">
        <v>20</v>
      </c>
      <c r="E231" s="71">
        <v>0.146</v>
      </c>
      <c r="F231" s="71">
        <v>18</v>
      </c>
      <c r="G231" s="71">
        <v>6.34</v>
      </c>
      <c r="H231" s="71">
        <v>1</v>
      </c>
      <c r="I231" s="71">
        <v>3.8</v>
      </c>
      <c r="J231" s="71">
        <v>85906.54</v>
      </c>
      <c r="K231" s="71">
        <v>712219.81</v>
      </c>
      <c r="L231" s="71">
        <v>53367.73</v>
      </c>
      <c r="M231" s="71">
        <v>7291</v>
      </c>
      <c r="N231" s="71">
        <v>90.6</v>
      </c>
      <c r="O231" s="71">
        <v>0</v>
      </c>
      <c r="P231" s="71">
        <v>0</v>
      </c>
      <c r="Q231" s="71">
        <v>0</v>
      </c>
      <c r="R231" s="71">
        <v>1</v>
      </c>
      <c r="S231" s="71">
        <v>0</v>
      </c>
      <c r="T231" s="71">
        <v>0</v>
      </c>
      <c r="U231">
        <v>788939.518028121</v>
      </c>
      <c r="V231">
        <v>125658.747476765</v>
      </c>
    </row>
    <row r="232" customFormat="1" spans="1:22">
      <c r="A232" s="71" t="s">
        <v>79</v>
      </c>
      <c r="B232" s="177">
        <v>45689</v>
      </c>
      <c r="C232" s="71" t="s">
        <v>17</v>
      </c>
      <c r="D232" s="71" t="s">
        <v>20</v>
      </c>
      <c r="E232" s="71">
        <v>0.088</v>
      </c>
      <c r="F232" s="71">
        <v>18</v>
      </c>
      <c r="G232" s="71">
        <v>1.2</v>
      </c>
      <c r="H232" s="71">
        <v>0</v>
      </c>
      <c r="I232" s="71">
        <v>3.4</v>
      </c>
      <c r="J232" s="71">
        <v>132684.18</v>
      </c>
      <c r="K232" s="71">
        <v>672670.54</v>
      </c>
      <c r="L232" s="71">
        <v>27194.64</v>
      </c>
      <c r="M232" s="71">
        <v>7404</v>
      </c>
      <c r="N232" s="71">
        <v>90.2</v>
      </c>
      <c r="O232" s="71">
        <v>0</v>
      </c>
      <c r="P232" s="71">
        <v>0</v>
      </c>
      <c r="Q232" s="71">
        <v>1</v>
      </c>
      <c r="R232" s="71">
        <v>0</v>
      </c>
      <c r="S232" s="71">
        <v>0</v>
      </c>
      <c r="T232" s="71">
        <v>1</v>
      </c>
      <c r="U232">
        <v>790332.376841644</v>
      </c>
      <c r="V232">
        <v>147939.781898153</v>
      </c>
    </row>
    <row r="233" customFormat="1" spans="1:22">
      <c r="A233" s="71" t="s">
        <v>79</v>
      </c>
      <c r="B233" s="177">
        <v>45717</v>
      </c>
      <c r="C233" s="71" t="s">
        <v>17</v>
      </c>
      <c r="D233" s="71" t="s">
        <v>20</v>
      </c>
      <c r="E233" s="71">
        <v>0.116</v>
      </c>
      <c r="F233" s="71">
        <v>19</v>
      </c>
      <c r="G233" s="71">
        <v>4.5</v>
      </c>
      <c r="H233" s="71">
        <v>0</v>
      </c>
      <c r="I233" s="71">
        <v>3.3</v>
      </c>
      <c r="J233" s="71">
        <v>128654.46</v>
      </c>
      <c r="K233" s="71">
        <v>732667.92</v>
      </c>
      <c r="L233" s="71">
        <v>66962.74</v>
      </c>
      <c r="M233" s="71">
        <v>7880</v>
      </c>
      <c r="N233" s="71">
        <v>90.4</v>
      </c>
      <c r="O233" s="71">
        <v>0</v>
      </c>
      <c r="P233" s="71">
        <v>0</v>
      </c>
      <c r="Q233" s="71">
        <v>1</v>
      </c>
      <c r="R233" s="71">
        <v>0</v>
      </c>
      <c r="S233" s="71">
        <v>0</v>
      </c>
      <c r="T233" s="71">
        <v>1</v>
      </c>
      <c r="U233">
        <v>769500.223708505</v>
      </c>
      <c r="V233">
        <v>-26266.4656633036</v>
      </c>
    </row>
    <row r="234" customFormat="1" spans="1:22">
      <c r="A234" s="71" t="s">
        <v>79</v>
      </c>
      <c r="B234" s="177">
        <v>45748</v>
      </c>
      <c r="C234" s="71" t="s">
        <v>17</v>
      </c>
      <c r="D234" s="71" t="s">
        <v>20</v>
      </c>
      <c r="E234" s="71">
        <v>0.035</v>
      </c>
      <c r="F234" s="71">
        <v>21</v>
      </c>
      <c r="G234" s="71">
        <v>6.68</v>
      </c>
      <c r="H234" s="71">
        <v>0</v>
      </c>
      <c r="I234" s="71">
        <v>3.6</v>
      </c>
      <c r="J234" s="71">
        <v>108794.85</v>
      </c>
      <c r="K234" s="71">
        <v>723531.4</v>
      </c>
      <c r="L234" s="71">
        <v>73540.99</v>
      </c>
      <c r="M234" s="71">
        <v>8773</v>
      </c>
      <c r="N234" s="71">
        <v>84.4</v>
      </c>
      <c r="O234" s="71">
        <v>0</v>
      </c>
      <c r="P234" s="71">
        <v>0</v>
      </c>
      <c r="Q234" s="71">
        <v>1</v>
      </c>
      <c r="R234" s="71">
        <v>0</v>
      </c>
      <c r="S234" s="71">
        <v>0</v>
      </c>
      <c r="T234" s="71">
        <v>1</v>
      </c>
      <c r="U234">
        <v>760720.336384336</v>
      </c>
      <c r="V234">
        <v>31365.0347849792</v>
      </c>
    </row>
    <row r="235" customFormat="1" spans="1:22">
      <c r="A235" s="71" t="s">
        <v>80</v>
      </c>
      <c r="B235" s="177">
        <v>45658</v>
      </c>
      <c r="C235" s="71" t="s">
        <v>17</v>
      </c>
      <c r="D235" s="71" t="s">
        <v>30</v>
      </c>
      <c r="E235" s="71">
        <v>0.198</v>
      </c>
      <c r="F235" s="71">
        <v>15</v>
      </c>
      <c r="G235" s="71">
        <v>4.07</v>
      </c>
      <c r="H235" s="71">
        <v>1</v>
      </c>
      <c r="I235" s="71">
        <v>3</v>
      </c>
      <c r="J235" s="71">
        <v>90468.96</v>
      </c>
      <c r="K235" s="71">
        <v>641564.6</v>
      </c>
      <c r="L235" s="71">
        <v>68212.29</v>
      </c>
      <c r="M235" s="71">
        <v>4713</v>
      </c>
      <c r="N235" s="71">
        <v>82.6</v>
      </c>
      <c r="O235" s="71">
        <v>0</v>
      </c>
      <c r="P235" s="71">
        <v>0</v>
      </c>
      <c r="Q235" s="71">
        <v>1</v>
      </c>
      <c r="R235" s="71">
        <v>0</v>
      </c>
      <c r="S235" s="71">
        <v>0</v>
      </c>
      <c r="T235" s="71">
        <v>1</v>
      </c>
      <c r="U235">
        <v>829776.003792581</v>
      </c>
      <c r="V235">
        <v>119945.842904731</v>
      </c>
    </row>
    <row r="236" customFormat="1" spans="1:22">
      <c r="A236" s="71" t="s">
        <v>80</v>
      </c>
      <c r="B236" s="177">
        <v>45689</v>
      </c>
      <c r="C236" s="71" t="s">
        <v>17</v>
      </c>
      <c r="D236" s="71" t="s">
        <v>30</v>
      </c>
      <c r="E236" s="71">
        <v>0.112</v>
      </c>
      <c r="F236" s="71">
        <v>10</v>
      </c>
      <c r="G236" s="71">
        <v>5.45</v>
      </c>
      <c r="H236" s="71">
        <v>0</v>
      </c>
      <c r="I236" s="71">
        <v>3.4</v>
      </c>
      <c r="J236" s="71">
        <v>97917.45</v>
      </c>
      <c r="K236" s="71">
        <v>536545.49</v>
      </c>
      <c r="L236" s="71">
        <v>57225.98</v>
      </c>
      <c r="M236" s="71">
        <v>2842</v>
      </c>
      <c r="N236" s="71">
        <v>79.5</v>
      </c>
      <c r="O236" s="71">
        <v>1</v>
      </c>
      <c r="P236" s="71">
        <v>0</v>
      </c>
      <c r="Q236" s="71">
        <v>0</v>
      </c>
      <c r="R236" s="71">
        <v>0</v>
      </c>
      <c r="S236" s="71">
        <v>0</v>
      </c>
      <c r="T236" s="71">
        <v>0</v>
      </c>
      <c r="U236">
        <v>641979.972041956</v>
      </c>
      <c r="V236">
        <v>-62189.9026549376</v>
      </c>
    </row>
    <row r="237" customFormat="1" spans="1:22">
      <c r="A237" s="71" t="s">
        <v>80</v>
      </c>
      <c r="B237" s="177">
        <v>45717</v>
      </c>
      <c r="C237" s="71" t="s">
        <v>17</v>
      </c>
      <c r="D237" s="71" t="s">
        <v>30</v>
      </c>
      <c r="E237" s="71">
        <v>0.171</v>
      </c>
      <c r="F237" s="71">
        <v>12</v>
      </c>
      <c r="G237" s="71">
        <v>15.58</v>
      </c>
      <c r="H237" s="71">
        <v>0</v>
      </c>
      <c r="I237" s="71">
        <v>3.3</v>
      </c>
      <c r="J237" s="71">
        <v>63153.05</v>
      </c>
      <c r="K237" s="71">
        <v>527681.56</v>
      </c>
      <c r="L237" s="71">
        <v>42932.02</v>
      </c>
      <c r="M237" s="71">
        <v>3872</v>
      </c>
      <c r="N237" s="71">
        <v>83.2</v>
      </c>
      <c r="O237" s="71">
        <v>1</v>
      </c>
      <c r="P237" s="71">
        <v>0</v>
      </c>
      <c r="Q237" s="71">
        <v>0</v>
      </c>
      <c r="R237" s="71">
        <v>0</v>
      </c>
      <c r="S237" s="71">
        <v>0</v>
      </c>
      <c r="T237" s="71">
        <v>0</v>
      </c>
      <c r="U237">
        <v>608754.21040367</v>
      </c>
      <c r="V237">
        <v>-164104.808453946</v>
      </c>
    </row>
    <row r="238" customFormat="1" spans="1:22">
      <c r="A238" s="71" t="s">
        <v>80</v>
      </c>
      <c r="B238" s="177">
        <v>45748</v>
      </c>
      <c r="C238" s="71" t="s">
        <v>17</v>
      </c>
      <c r="D238" s="71" t="s">
        <v>30</v>
      </c>
      <c r="E238" s="71">
        <v>0.093</v>
      </c>
      <c r="F238" s="71">
        <v>5</v>
      </c>
      <c r="G238" s="71">
        <v>5.32</v>
      </c>
      <c r="H238" s="71">
        <v>0</v>
      </c>
      <c r="I238" s="71">
        <v>3.95</v>
      </c>
      <c r="J238" s="71">
        <v>84334.33</v>
      </c>
      <c r="K238" s="71">
        <v>529598.94</v>
      </c>
      <c r="L238" s="71">
        <v>39341.45</v>
      </c>
      <c r="M238" s="71">
        <v>1375</v>
      </c>
      <c r="N238" s="71">
        <v>95</v>
      </c>
      <c r="O238" s="71">
        <v>1</v>
      </c>
      <c r="P238" s="71">
        <v>0</v>
      </c>
      <c r="Q238" s="71">
        <v>0</v>
      </c>
      <c r="R238" s="71">
        <v>0</v>
      </c>
      <c r="S238" s="71">
        <v>0</v>
      </c>
      <c r="T238" s="71">
        <v>0</v>
      </c>
      <c r="U238">
        <v>609041.21896798</v>
      </c>
      <c r="V238">
        <v>-115512.565391783</v>
      </c>
    </row>
    <row r="239" customFormat="1" spans="1:22">
      <c r="A239" s="71" t="s">
        <v>81</v>
      </c>
      <c r="B239" s="177">
        <v>45658</v>
      </c>
      <c r="C239" s="71" t="s">
        <v>17</v>
      </c>
      <c r="D239" s="71" t="s">
        <v>20</v>
      </c>
      <c r="E239" s="71">
        <v>0.071</v>
      </c>
      <c r="F239" s="71">
        <v>12</v>
      </c>
      <c r="G239" s="71">
        <v>0.37</v>
      </c>
      <c r="H239" s="71">
        <v>0</v>
      </c>
      <c r="I239" s="71">
        <v>3.8</v>
      </c>
      <c r="J239" s="71">
        <v>87342.25</v>
      </c>
      <c r="K239" s="71">
        <v>570963.31</v>
      </c>
      <c r="L239" s="71">
        <v>37324.23</v>
      </c>
      <c r="M239" s="71">
        <v>5957</v>
      </c>
      <c r="N239" s="71">
        <v>85.9</v>
      </c>
      <c r="O239" s="71">
        <v>1</v>
      </c>
      <c r="P239" s="71">
        <v>0</v>
      </c>
      <c r="Q239" s="71">
        <v>0</v>
      </c>
      <c r="R239" s="71">
        <v>0</v>
      </c>
      <c r="S239" s="71">
        <v>0</v>
      </c>
      <c r="T239" s="71">
        <v>0</v>
      </c>
      <c r="U239">
        <v>581276.919136687</v>
      </c>
      <c r="V239">
        <v>-371749.604965361</v>
      </c>
    </row>
    <row r="240" customFormat="1" spans="1:22">
      <c r="A240" s="71" t="s">
        <v>81</v>
      </c>
      <c r="B240" s="177">
        <v>45689</v>
      </c>
      <c r="C240" s="71" t="s">
        <v>17</v>
      </c>
      <c r="D240" s="71" t="s">
        <v>20</v>
      </c>
      <c r="E240" s="71">
        <v>0.202</v>
      </c>
      <c r="F240" s="71">
        <v>24</v>
      </c>
      <c r="G240" s="71">
        <v>21.63</v>
      </c>
      <c r="H240" s="71">
        <v>0</v>
      </c>
      <c r="I240" s="71">
        <v>4</v>
      </c>
      <c r="J240" s="71">
        <v>175282.74</v>
      </c>
      <c r="K240" s="71">
        <v>870937.4</v>
      </c>
      <c r="L240" s="71">
        <v>113736</v>
      </c>
      <c r="M240" s="71">
        <v>8961</v>
      </c>
      <c r="N240" s="71">
        <v>86.2</v>
      </c>
      <c r="O240" s="71">
        <v>0</v>
      </c>
      <c r="P240" s="71">
        <v>0</v>
      </c>
      <c r="Q240" s="71">
        <v>0</v>
      </c>
      <c r="R240" s="71">
        <v>1</v>
      </c>
      <c r="S240" s="71">
        <v>0</v>
      </c>
      <c r="T240" s="71">
        <v>0</v>
      </c>
      <c r="U240">
        <v>697927.155588932</v>
      </c>
      <c r="V240">
        <v>-76719.7080281212</v>
      </c>
    </row>
    <row r="241" customFormat="1" spans="1:22">
      <c r="A241" s="71" t="s">
        <v>81</v>
      </c>
      <c r="B241" s="177">
        <v>45717</v>
      </c>
      <c r="C241" s="71" t="s">
        <v>17</v>
      </c>
      <c r="D241" s="71" t="s">
        <v>20</v>
      </c>
      <c r="E241" s="71">
        <v>0.169</v>
      </c>
      <c r="F241" s="71">
        <v>15</v>
      </c>
      <c r="G241" s="71">
        <v>2.48</v>
      </c>
      <c r="H241" s="71">
        <v>0</v>
      </c>
      <c r="I241" s="71">
        <v>3.9</v>
      </c>
      <c r="J241" s="71">
        <v>105669.51</v>
      </c>
      <c r="K241" s="71">
        <v>596969.27</v>
      </c>
      <c r="L241" s="71">
        <v>33173.95</v>
      </c>
      <c r="M241" s="71">
        <v>6545</v>
      </c>
      <c r="N241" s="71">
        <v>84.4</v>
      </c>
      <c r="O241" s="71">
        <v>0</v>
      </c>
      <c r="P241" s="71">
        <v>0</v>
      </c>
      <c r="Q241" s="71">
        <v>0</v>
      </c>
      <c r="R241" s="71">
        <v>1</v>
      </c>
      <c r="S241" s="71">
        <v>0</v>
      </c>
      <c r="T241" s="71">
        <v>0</v>
      </c>
      <c r="U241">
        <v>671824.139934321</v>
      </c>
      <c r="V241">
        <v>-117661.836841644</v>
      </c>
    </row>
    <row r="242" customFormat="1" spans="1:22">
      <c r="A242" s="71" t="s">
        <v>81</v>
      </c>
      <c r="B242" s="177">
        <v>45748</v>
      </c>
      <c r="C242" s="71" t="s">
        <v>17</v>
      </c>
      <c r="D242" s="71" t="s">
        <v>20</v>
      </c>
      <c r="E242" s="71">
        <v>0</v>
      </c>
      <c r="F242" s="71">
        <v>11</v>
      </c>
      <c r="G242" s="71">
        <v>4.47</v>
      </c>
      <c r="H242" s="71">
        <v>0</v>
      </c>
      <c r="I242" s="71">
        <v>3.7</v>
      </c>
      <c r="J242" s="71">
        <v>153835.57</v>
      </c>
      <c r="K242" s="71">
        <v>647512.85</v>
      </c>
      <c r="L242" s="71">
        <v>25818.08</v>
      </c>
      <c r="M242" s="71">
        <v>5457</v>
      </c>
      <c r="N242" s="71">
        <v>95.4</v>
      </c>
      <c r="O242" s="71">
        <v>0</v>
      </c>
      <c r="P242" s="71">
        <v>0</v>
      </c>
      <c r="Q242" s="71">
        <v>0</v>
      </c>
      <c r="R242" s="71">
        <v>1</v>
      </c>
      <c r="S242" s="71">
        <v>0</v>
      </c>
      <c r="T242" s="71">
        <v>0</v>
      </c>
      <c r="U242">
        <v>735792.403013197</v>
      </c>
      <c r="V242">
        <v>-36832.3037085047</v>
      </c>
    </row>
    <row r="243" customFormat="1" spans="1:22">
      <c r="A243" s="71" t="s">
        <v>82</v>
      </c>
      <c r="B243" s="177">
        <v>45658</v>
      </c>
      <c r="C243" s="71" t="s">
        <v>29</v>
      </c>
      <c r="D243" s="71" t="s">
        <v>18</v>
      </c>
      <c r="E243" s="71">
        <v>0.069</v>
      </c>
      <c r="F243" s="71">
        <v>13</v>
      </c>
      <c r="G243" s="71">
        <v>0.85</v>
      </c>
      <c r="H243" s="71">
        <v>0</v>
      </c>
      <c r="I243" s="71">
        <v>4.3</v>
      </c>
      <c r="J243" s="71">
        <v>110595.89</v>
      </c>
      <c r="K243" s="71">
        <v>658072.14</v>
      </c>
      <c r="L243" s="71">
        <v>47241.92</v>
      </c>
      <c r="M243" s="71">
        <v>4264</v>
      </c>
      <c r="N243" s="71">
        <v>95.3</v>
      </c>
      <c r="O243" s="71">
        <v>0</v>
      </c>
      <c r="P243" s="71">
        <v>0</v>
      </c>
      <c r="Q243" s="71">
        <v>0</v>
      </c>
      <c r="R243" s="71">
        <v>1</v>
      </c>
      <c r="S243" s="71">
        <v>0</v>
      </c>
      <c r="T243" s="71">
        <v>0</v>
      </c>
      <c r="U243">
        <v>756078.907810095</v>
      </c>
      <c r="V243">
        <v>-37188.9363843355</v>
      </c>
    </row>
    <row r="244" customFormat="1" spans="1:22">
      <c r="A244" s="71" t="s">
        <v>82</v>
      </c>
      <c r="B244" s="177">
        <v>45689</v>
      </c>
      <c r="C244" s="71" t="s">
        <v>29</v>
      </c>
      <c r="D244" s="71" t="s">
        <v>18</v>
      </c>
      <c r="E244" s="71">
        <v>0.126</v>
      </c>
      <c r="F244" s="71">
        <v>17</v>
      </c>
      <c r="G244" s="71">
        <v>2.13</v>
      </c>
      <c r="H244" s="71">
        <v>0</v>
      </c>
      <c r="I244" s="71">
        <v>4</v>
      </c>
      <c r="J244" s="71">
        <v>128468.7</v>
      </c>
      <c r="K244" s="71">
        <v>723305.11</v>
      </c>
      <c r="L244" s="71">
        <v>61650.79</v>
      </c>
      <c r="M244" s="71">
        <v>5321</v>
      </c>
      <c r="N244" s="71">
        <v>89.2</v>
      </c>
      <c r="O244" s="71">
        <v>0</v>
      </c>
      <c r="P244" s="71">
        <v>0</v>
      </c>
      <c r="Q244" s="71">
        <v>0</v>
      </c>
      <c r="R244" s="71">
        <v>0</v>
      </c>
      <c r="S244" s="71">
        <v>1</v>
      </c>
      <c r="T244" s="71">
        <v>0</v>
      </c>
      <c r="U244">
        <v>606945.377076087</v>
      </c>
      <c r="V244">
        <v>-188211.403792581</v>
      </c>
    </row>
    <row r="245" customFormat="1" spans="1:22">
      <c r="A245" s="71" t="s">
        <v>82</v>
      </c>
      <c r="B245" s="177">
        <v>45717</v>
      </c>
      <c r="C245" s="71" t="s">
        <v>29</v>
      </c>
      <c r="D245" s="71" t="s">
        <v>18</v>
      </c>
      <c r="E245" s="71">
        <v>0.048</v>
      </c>
      <c r="F245" s="71">
        <v>16</v>
      </c>
      <c r="G245" s="71">
        <v>1.46</v>
      </c>
      <c r="H245" s="71">
        <v>0</v>
      </c>
      <c r="I245" s="71">
        <v>4.5</v>
      </c>
      <c r="J245" s="71">
        <v>134919.16</v>
      </c>
      <c r="K245" s="71">
        <v>640666.53</v>
      </c>
      <c r="L245" s="71">
        <v>62582.71</v>
      </c>
      <c r="M245" s="71">
        <v>5479</v>
      </c>
      <c r="N245" s="71">
        <v>81.2</v>
      </c>
      <c r="O245" s="71">
        <v>0</v>
      </c>
      <c r="P245" s="71">
        <v>0</v>
      </c>
      <c r="Q245" s="71">
        <v>0</v>
      </c>
      <c r="R245" s="71">
        <v>0</v>
      </c>
      <c r="S245" s="71">
        <v>1</v>
      </c>
      <c r="T245" s="71">
        <v>0</v>
      </c>
      <c r="U245">
        <v>550410.444594151</v>
      </c>
      <c r="V245">
        <v>-105434.482041956</v>
      </c>
    </row>
    <row r="246" customFormat="1" spans="1:22">
      <c r="A246" s="71" t="s">
        <v>82</v>
      </c>
      <c r="B246" s="177">
        <v>45748</v>
      </c>
      <c r="C246" s="71" t="s">
        <v>29</v>
      </c>
      <c r="D246" s="71" t="s">
        <v>18</v>
      </c>
      <c r="E246" s="71">
        <v>0.119</v>
      </c>
      <c r="F246" s="71">
        <v>17</v>
      </c>
      <c r="G246" s="71">
        <v>3.02</v>
      </c>
      <c r="H246" s="71">
        <v>0</v>
      </c>
      <c r="I246" s="71">
        <v>4.1</v>
      </c>
      <c r="J246" s="71">
        <v>100140.8</v>
      </c>
      <c r="K246" s="71">
        <v>670629.48</v>
      </c>
      <c r="L246" s="71">
        <v>47944.14</v>
      </c>
      <c r="M246" s="71">
        <v>6169</v>
      </c>
      <c r="N246" s="71">
        <v>92.2</v>
      </c>
      <c r="O246" s="71">
        <v>0</v>
      </c>
      <c r="P246" s="71">
        <v>0</v>
      </c>
      <c r="Q246" s="71">
        <v>0</v>
      </c>
      <c r="R246" s="71">
        <v>0</v>
      </c>
      <c r="S246" s="71">
        <v>1</v>
      </c>
      <c r="T246" s="71">
        <v>0</v>
      </c>
      <c r="U246">
        <v>579256.412238099</v>
      </c>
      <c r="V246">
        <v>-81072.6504036702</v>
      </c>
    </row>
    <row r="247" customFormat="1" spans="1:22">
      <c r="A247" s="71" t="s">
        <v>83</v>
      </c>
      <c r="B247" s="177">
        <v>45658</v>
      </c>
      <c r="C247" s="71" t="s">
        <v>29</v>
      </c>
      <c r="D247" s="71" t="s">
        <v>30</v>
      </c>
      <c r="E247" s="71">
        <v>0.121</v>
      </c>
      <c r="F247" s="71">
        <v>22</v>
      </c>
      <c r="G247" s="71">
        <v>3.22</v>
      </c>
      <c r="H247" s="71">
        <v>0</v>
      </c>
      <c r="I247" s="71">
        <v>3.7</v>
      </c>
      <c r="J247" s="71">
        <v>115295.05</v>
      </c>
      <c r="K247" s="71">
        <v>721079.35</v>
      </c>
      <c r="L247" s="71">
        <v>46495.4</v>
      </c>
      <c r="M247" s="71">
        <v>9908</v>
      </c>
      <c r="N247" s="71">
        <v>89.4</v>
      </c>
      <c r="O247" s="71">
        <v>0</v>
      </c>
      <c r="P247" s="71">
        <v>0</v>
      </c>
      <c r="Q247" s="71">
        <v>0</v>
      </c>
      <c r="R247" s="71">
        <v>0</v>
      </c>
      <c r="S247" s="71">
        <v>1</v>
      </c>
      <c r="T247" s="71">
        <v>0</v>
      </c>
      <c r="U247">
        <v>525384.570527235</v>
      </c>
      <c r="V247">
        <v>-79442.2789679802</v>
      </c>
    </row>
    <row r="248" customFormat="1" spans="1:22">
      <c r="A248" s="71" t="s">
        <v>83</v>
      </c>
      <c r="B248" s="177">
        <v>45689</v>
      </c>
      <c r="C248" s="71" t="s">
        <v>29</v>
      </c>
      <c r="D248" s="71" t="s">
        <v>30</v>
      </c>
      <c r="E248" s="71">
        <v>0.106</v>
      </c>
      <c r="F248" s="71">
        <v>22</v>
      </c>
      <c r="G248" s="71">
        <v>15.66</v>
      </c>
      <c r="H248" s="71">
        <v>0</v>
      </c>
      <c r="I248" s="71">
        <v>3.4</v>
      </c>
      <c r="J248" s="71">
        <v>131510</v>
      </c>
      <c r="K248" s="71">
        <v>810355.02</v>
      </c>
      <c r="L248" s="71">
        <v>72961.95</v>
      </c>
      <c r="M248" s="71">
        <v>9996</v>
      </c>
      <c r="N248" s="71">
        <v>89.1</v>
      </c>
      <c r="O248" s="71">
        <v>0</v>
      </c>
      <c r="P248" s="71">
        <v>0</v>
      </c>
      <c r="Q248" s="71">
        <v>0</v>
      </c>
      <c r="R248" s="71">
        <v>1</v>
      </c>
      <c r="S248" s="71">
        <v>0</v>
      </c>
      <c r="T248" s="71">
        <v>0</v>
      </c>
      <c r="U248">
        <v>651185.49110573</v>
      </c>
      <c r="V248">
        <v>-10313.6091366868</v>
      </c>
    </row>
    <row r="249" customFormat="1" spans="1:22">
      <c r="A249" s="71" t="s">
        <v>83</v>
      </c>
      <c r="B249" s="177">
        <v>45717</v>
      </c>
      <c r="C249" s="71" t="s">
        <v>29</v>
      </c>
      <c r="D249" s="71" t="s">
        <v>30</v>
      </c>
      <c r="E249" s="71">
        <v>0.201</v>
      </c>
      <c r="F249" s="71">
        <v>23</v>
      </c>
      <c r="G249" s="71">
        <v>6.96</v>
      </c>
      <c r="H249" s="71">
        <v>0</v>
      </c>
      <c r="I249" s="71">
        <v>3.2</v>
      </c>
      <c r="J249" s="71">
        <v>111893.06</v>
      </c>
      <c r="K249" s="71">
        <v>761919.25</v>
      </c>
      <c r="L249" s="71">
        <v>59060.05</v>
      </c>
      <c r="M249" s="71">
        <v>9702</v>
      </c>
      <c r="N249" s="71">
        <v>80.9</v>
      </c>
      <c r="O249" s="71">
        <v>0</v>
      </c>
      <c r="P249" s="71">
        <v>0</v>
      </c>
      <c r="Q249" s="71">
        <v>0</v>
      </c>
      <c r="R249" s="71">
        <v>1</v>
      </c>
      <c r="S249" s="71">
        <v>0</v>
      </c>
      <c r="T249" s="71">
        <v>0</v>
      </c>
      <c r="U249">
        <v>813182.56624042</v>
      </c>
      <c r="V249">
        <v>173010.244411068</v>
      </c>
    </row>
    <row r="250" customFormat="1" spans="1:22">
      <c r="A250" s="71" t="s">
        <v>83</v>
      </c>
      <c r="B250" s="177">
        <v>45748</v>
      </c>
      <c r="C250" s="71" t="s">
        <v>29</v>
      </c>
      <c r="D250" s="71" t="s">
        <v>30</v>
      </c>
      <c r="E250" s="71">
        <v>0.186</v>
      </c>
      <c r="F250" s="71">
        <v>21</v>
      </c>
      <c r="G250" s="71">
        <v>4.62</v>
      </c>
      <c r="H250" s="71">
        <v>0</v>
      </c>
      <c r="I250" s="71">
        <v>3.3</v>
      </c>
      <c r="J250" s="71">
        <v>117593.97</v>
      </c>
      <c r="K250" s="71">
        <v>737070.18</v>
      </c>
      <c r="L250" s="71">
        <v>26248.1</v>
      </c>
      <c r="M250" s="71">
        <v>9314</v>
      </c>
      <c r="N250" s="71">
        <v>83.7</v>
      </c>
      <c r="O250" s="71">
        <v>0</v>
      </c>
      <c r="P250" s="71">
        <v>0</v>
      </c>
      <c r="Q250" s="71">
        <v>0</v>
      </c>
      <c r="R250" s="71">
        <v>1</v>
      </c>
      <c r="S250" s="71">
        <v>0</v>
      </c>
      <c r="T250" s="71">
        <v>0</v>
      </c>
      <c r="U250">
        <v>630310.418025972</v>
      </c>
      <c r="V250">
        <v>-74854.8699343211</v>
      </c>
    </row>
    <row r="251" customFormat="1" spans="1:22">
      <c r="A251" s="71" t="s">
        <v>84</v>
      </c>
      <c r="B251" s="177">
        <v>45658</v>
      </c>
      <c r="C251" s="71" t="s">
        <v>26</v>
      </c>
      <c r="D251" s="71" t="s">
        <v>23</v>
      </c>
      <c r="E251" s="71">
        <v>0.281</v>
      </c>
      <c r="F251" s="71">
        <v>22</v>
      </c>
      <c r="G251" s="71">
        <v>10.68</v>
      </c>
      <c r="H251" s="71">
        <v>1</v>
      </c>
      <c r="I251" s="71">
        <v>2.9</v>
      </c>
      <c r="J251" s="71">
        <v>101598.32</v>
      </c>
      <c r="K251" s="71">
        <v>776992.93</v>
      </c>
      <c r="L251" s="71">
        <v>69900.12</v>
      </c>
      <c r="M251" s="71">
        <v>8055</v>
      </c>
      <c r="N251" s="71">
        <v>85.6</v>
      </c>
      <c r="O251" s="71">
        <v>0</v>
      </c>
      <c r="P251" s="71">
        <v>0</v>
      </c>
      <c r="Q251" s="71">
        <v>0</v>
      </c>
      <c r="R251" s="71">
        <v>1</v>
      </c>
      <c r="S251" s="71">
        <v>0</v>
      </c>
      <c r="T251" s="71">
        <v>0</v>
      </c>
      <c r="U251">
        <v>617303.512022806</v>
      </c>
      <c r="V251">
        <v>-88279.5530131966</v>
      </c>
    </row>
    <row r="252" customFormat="1" spans="1:22">
      <c r="A252" s="71" t="s">
        <v>84</v>
      </c>
      <c r="B252" s="177">
        <v>45689</v>
      </c>
      <c r="C252" s="71" t="s">
        <v>26</v>
      </c>
      <c r="D252" s="71" t="s">
        <v>23</v>
      </c>
      <c r="E252" s="71">
        <v>0.059</v>
      </c>
      <c r="F252" s="71">
        <v>13</v>
      </c>
      <c r="G252" s="71">
        <v>4.04</v>
      </c>
      <c r="H252" s="71">
        <v>0</v>
      </c>
      <c r="I252" s="71">
        <v>3.7</v>
      </c>
      <c r="J252" s="71">
        <v>104355.77</v>
      </c>
      <c r="K252" s="71">
        <v>676337.41</v>
      </c>
      <c r="L252" s="71">
        <v>51781.6</v>
      </c>
      <c r="M252" s="71">
        <v>5648</v>
      </c>
      <c r="N252" s="71">
        <v>85.5</v>
      </c>
      <c r="O252" s="71">
        <v>0</v>
      </c>
      <c r="P252" s="71">
        <v>0</v>
      </c>
      <c r="Q252" s="71">
        <v>1</v>
      </c>
      <c r="R252" s="71">
        <v>0</v>
      </c>
      <c r="S252" s="71">
        <v>0</v>
      </c>
      <c r="T252" s="71">
        <v>1</v>
      </c>
      <c r="U252">
        <v>602071.818811434</v>
      </c>
      <c r="V252">
        <v>-98006.7678100953</v>
      </c>
    </row>
    <row r="253" customFormat="1" spans="1:22">
      <c r="A253" s="71" t="s">
        <v>84</v>
      </c>
      <c r="B253" s="177">
        <v>45717</v>
      </c>
      <c r="C253" s="71" t="s">
        <v>26</v>
      </c>
      <c r="D253" s="71" t="s">
        <v>23</v>
      </c>
      <c r="E253" s="71">
        <v>0.152</v>
      </c>
      <c r="F253" s="71">
        <v>24</v>
      </c>
      <c r="G253" s="71">
        <v>1.87</v>
      </c>
      <c r="H253" s="71">
        <v>0</v>
      </c>
      <c r="I253" s="71">
        <v>3.5</v>
      </c>
      <c r="J253" s="71">
        <v>179806.87</v>
      </c>
      <c r="K253" s="71">
        <v>828219.67</v>
      </c>
      <c r="L253" s="71">
        <v>70799.64</v>
      </c>
      <c r="M253" s="71">
        <v>10076</v>
      </c>
      <c r="N253" s="71">
        <v>84.8</v>
      </c>
      <c r="O253" s="71">
        <v>0</v>
      </c>
      <c r="P253" s="71">
        <v>0</v>
      </c>
      <c r="Q253" s="71">
        <v>1</v>
      </c>
      <c r="R253" s="71">
        <v>0</v>
      </c>
      <c r="S253" s="71">
        <v>0</v>
      </c>
      <c r="T253" s="71">
        <v>1</v>
      </c>
      <c r="U253">
        <v>649216.172455474</v>
      </c>
      <c r="V253">
        <v>116359.732923913</v>
      </c>
    </row>
    <row r="254" customFormat="1" spans="1:22">
      <c r="A254" s="71" t="s">
        <v>84</v>
      </c>
      <c r="B254" s="177">
        <v>45748</v>
      </c>
      <c r="C254" s="71" t="s">
        <v>26</v>
      </c>
      <c r="D254" s="71" t="s">
        <v>23</v>
      </c>
      <c r="E254" s="71">
        <v>0</v>
      </c>
      <c r="F254" s="71">
        <v>21</v>
      </c>
      <c r="G254" s="71">
        <v>2.83</v>
      </c>
      <c r="H254" s="71">
        <v>0</v>
      </c>
      <c r="I254" s="71">
        <v>3</v>
      </c>
      <c r="J254" s="71">
        <v>177104.87</v>
      </c>
      <c r="K254" s="71">
        <v>763159.92</v>
      </c>
      <c r="L254" s="71">
        <v>53546.34</v>
      </c>
      <c r="M254" s="71">
        <v>8004</v>
      </c>
      <c r="N254" s="71">
        <v>95.2</v>
      </c>
      <c r="O254" s="71">
        <v>0</v>
      </c>
      <c r="P254" s="71">
        <v>0</v>
      </c>
      <c r="Q254" s="71">
        <v>1</v>
      </c>
      <c r="R254" s="71">
        <v>0</v>
      </c>
      <c r="S254" s="71">
        <v>0</v>
      </c>
      <c r="T254" s="71">
        <v>1</v>
      </c>
      <c r="U254">
        <v>631983.312277418</v>
      </c>
      <c r="V254">
        <v>90256.0854058492</v>
      </c>
    </row>
    <row r="255" customFormat="1" spans="1:22">
      <c r="A255" s="71" t="s">
        <v>85</v>
      </c>
      <c r="B255" s="177">
        <v>45658</v>
      </c>
      <c r="C255" s="71" t="s">
        <v>17</v>
      </c>
      <c r="D255" s="71" t="s">
        <v>20</v>
      </c>
      <c r="E255" s="71">
        <v>0.084</v>
      </c>
      <c r="F255" s="71">
        <v>20</v>
      </c>
      <c r="G255" s="71">
        <v>0.95</v>
      </c>
      <c r="H255" s="71">
        <v>0</v>
      </c>
      <c r="I255" s="71">
        <v>3.2</v>
      </c>
      <c r="J255" s="71">
        <v>159715.82</v>
      </c>
      <c r="K255" s="71">
        <v>802001.68</v>
      </c>
      <c r="L255" s="71">
        <v>76942.2</v>
      </c>
      <c r="M255" s="71">
        <v>8934</v>
      </c>
      <c r="N255" s="71">
        <v>91</v>
      </c>
      <c r="O255" s="71">
        <v>0</v>
      </c>
      <c r="P255" s="71">
        <v>0</v>
      </c>
      <c r="Q255" s="71">
        <v>1</v>
      </c>
      <c r="R255" s="71">
        <v>0</v>
      </c>
      <c r="S255" s="71">
        <v>0</v>
      </c>
      <c r="T255" s="71">
        <v>1</v>
      </c>
      <c r="U255">
        <v>670524.699202694</v>
      </c>
      <c r="V255">
        <v>91373.067761901</v>
      </c>
    </row>
    <row r="256" customFormat="1" spans="1:22">
      <c r="A256" s="71" t="s">
        <v>85</v>
      </c>
      <c r="B256" s="177">
        <v>45689</v>
      </c>
      <c r="C256" s="71" t="s">
        <v>17</v>
      </c>
      <c r="D256" s="71" t="s">
        <v>20</v>
      </c>
      <c r="E256" s="71">
        <v>0</v>
      </c>
      <c r="F256" s="71">
        <v>20</v>
      </c>
      <c r="G256" s="71">
        <v>0.8</v>
      </c>
      <c r="H256" s="71">
        <v>0</v>
      </c>
      <c r="I256" s="71">
        <v>3.4</v>
      </c>
      <c r="J256" s="71">
        <v>133788.04</v>
      </c>
      <c r="K256" s="71">
        <v>750471.34</v>
      </c>
      <c r="L256" s="71">
        <v>48060.78</v>
      </c>
      <c r="M256" s="71">
        <v>8733</v>
      </c>
      <c r="N256" s="71">
        <v>89.9</v>
      </c>
      <c r="O256" s="71">
        <v>0</v>
      </c>
      <c r="P256" s="71">
        <v>0</v>
      </c>
      <c r="Q256" s="71">
        <v>1</v>
      </c>
      <c r="R256" s="71">
        <v>0</v>
      </c>
      <c r="S256" s="71">
        <v>1</v>
      </c>
      <c r="T256" s="71">
        <v>0</v>
      </c>
      <c r="U256">
        <v>787113.360272827</v>
      </c>
      <c r="V256">
        <v>195694.779472765</v>
      </c>
    </row>
    <row r="257" customFormat="1" spans="1:22">
      <c r="A257" s="71" t="s">
        <v>85</v>
      </c>
      <c r="B257" s="177">
        <v>45717</v>
      </c>
      <c r="C257" s="71" t="s">
        <v>17</v>
      </c>
      <c r="D257" s="71" t="s">
        <v>20</v>
      </c>
      <c r="E257" s="71">
        <v>0.21</v>
      </c>
      <c r="F257" s="71">
        <v>21</v>
      </c>
      <c r="G257" s="71">
        <v>0.2</v>
      </c>
      <c r="H257" s="71">
        <v>0</v>
      </c>
      <c r="I257" s="71">
        <v>3.1</v>
      </c>
      <c r="J257" s="71">
        <v>106927.58</v>
      </c>
      <c r="K257" s="71">
        <v>679230.86</v>
      </c>
      <c r="L257" s="71">
        <v>57390.04</v>
      </c>
      <c r="M257" s="71">
        <v>7374</v>
      </c>
      <c r="N257" s="71">
        <v>91.8</v>
      </c>
      <c r="O257" s="71">
        <v>0</v>
      </c>
      <c r="P257" s="71">
        <v>0</v>
      </c>
      <c r="Q257" s="71">
        <v>1</v>
      </c>
      <c r="R257" s="71">
        <v>0</v>
      </c>
      <c r="S257" s="71">
        <v>1</v>
      </c>
      <c r="T257" s="71">
        <v>0</v>
      </c>
      <c r="U257">
        <v>808360.990831652</v>
      </c>
      <c r="V257">
        <v>159169.52889427</v>
      </c>
    </row>
    <row r="258" customFormat="1" spans="1:22">
      <c r="A258" s="71" t="s">
        <v>85</v>
      </c>
      <c r="B258" s="177">
        <v>45748</v>
      </c>
      <c r="C258" s="71" t="s">
        <v>17</v>
      </c>
      <c r="D258" s="71" t="s">
        <v>20</v>
      </c>
      <c r="E258" s="71">
        <v>0.227</v>
      </c>
      <c r="F258" s="71">
        <v>20</v>
      </c>
      <c r="G258" s="71">
        <v>1.7</v>
      </c>
      <c r="H258" s="71">
        <v>0</v>
      </c>
      <c r="I258" s="71">
        <v>3.3</v>
      </c>
      <c r="J258" s="71">
        <v>83406.89</v>
      </c>
      <c r="K258" s="71">
        <v>679888.74</v>
      </c>
      <c r="L258" s="71">
        <v>21536.18</v>
      </c>
      <c r="M258" s="71">
        <v>8119</v>
      </c>
      <c r="N258" s="71">
        <v>90.4</v>
      </c>
      <c r="O258" s="71">
        <v>0</v>
      </c>
      <c r="P258" s="71">
        <v>0</v>
      </c>
      <c r="Q258" s="71">
        <v>1</v>
      </c>
      <c r="R258" s="71">
        <v>0</v>
      </c>
      <c r="S258" s="71">
        <v>1</v>
      </c>
      <c r="T258" s="71">
        <v>0</v>
      </c>
      <c r="U258">
        <v>757603.353075478</v>
      </c>
      <c r="V258">
        <v>-51263.31624042</v>
      </c>
    </row>
    <row r="259" customFormat="1" spans="1:22">
      <c r="A259" s="71" t="s">
        <v>86</v>
      </c>
      <c r="B259" s="177">
        <v>45658</v>
      </c>
      <c r="C259" s="71" t="s">
        <v>22</v>
      </c>
      <c r="D259" s="71" t="s">
        <v>20</v>
      </c>
      <c r="E259" s="71">
        <v>0.15</v>
      </c>
      <c r="F259" s="71">
        <v>10</v>
      </c>
      <c r="G259" s="71">
        <v>4.47</v>
      </c>
      <c r="H259" s="71">
        <v>0</v>
      </c>
      <c r="I259" s="71">
        <v>3.8</v>
      </c>
      <c r="J259" s="71">
        <v>74515.87</v>
      </c>
      <c r="K259" s="71">
        <v>606783.67</v>
      </c>
      <c r="L259" s="71">
        <v>40923.67</v>
      </c>
      <c r="M259" s="71">
        <v>3875</v>
      </c>
      <c r="N259" s="71">
        <v>96.1</v>
      </c>
      <c r="O259" s="71">
        <v>0</v>
      </c>
      <c r="P259" s="71">
        <v>0</v>
      </c>
      <c r="Q259" s="71">
        <v>1</v>
      </c>
      <c r="R259" s="71">
        <v>0</v>
      </c>
      <c r="S259" s="71">
        <v>1</v>
      </c>
      <c r="T259" s="71">
        <v>0</v>
      </c>
      <c r="U259">
        <v>713764.961661996</v>
      </c>
      <c r="V259">
        <v>106759.761974028</v>
      </c>
    </row>
    <row r="260" customFormat="1" spans="1:22">
      <c r="A260" s="71" t="s">
        <v>86</v>
      </c>
      <c r="B260" s="177">
        <v>45689</v>
      </c>
      <c r="C260" s="71" t="s">
        <v>22</v>
      </c>
      <c r="D260" s="71" t="s">
        <v>20</v>
      </c>
      <c r="E260" s="71">
        <v>0.026</v>
      </c>
      <c r="F260" s="71">
        <v>17</v>
      </c>
      <c r="G260" s="71">
        <v>5.1</v>
      </c>
      <c r="H260" s="71">
        <v>0</v>
      </c>
      <c r="I260" s="71">
        <v>3.6</v>
      </c>
      <c r="J260" s="71">
        <v>131942.15</v>
      </c>
      <c r="K260" s="71">
        <v>642751.42</v>
      </c>
      <c r="L260" s="71">
        <v>72932.55</v>
      </c>
      <c r="M260" s="71">
        <v>5765</v>
      </c>
      <c r="N260" s="71">
        <v>81.8</v>
      </c>
      <c r="O260" s="71">
        <v>0</v>
      </c>
      <c r="P260" s="71">
        <v>1</v>
      </c>
      <c r="Q260" s="71">
        <v>0</v>
      </c>
      <c r="R260" s="71">
        <v>0</v>
      </c>
      <c r="S260" s="71">
        <v>0</v>
      </c>
      <c r="T260" s="71">
        <v>0</v>
      </c>
      <c r="U260">
        <v>728636.096616755</v>
      </c>
      <c r="V260">
        <v>159689.417977194</v>
      </c>
    </row>
    <row r="261" customFormat="1" spans="1:22">
      <c r="A261" s="71" t="s">
        <v>86</v>
      </c>
      <c r="B261" s="177">
        <v>45717</v>
      </c>
      <c r="C261" s="71" t="s">
        <v>22</v>
      </c>
      <c r="D261" s="71" t="s">
        <v>20</v>
      </c>
      <c r="E261" s="71">
        <v>0.273</v>
      </c>
      <c r="F261" s="71">
        <v>15</v>
      </c>
      <c r="G261" s="71">
        <v>0.83</v>
      </c>
      <c r="H261" s="71">
        <v>0</v>
      </c>
      <c r="I261" s="71">
        <v>4</v>
      </c>
      <c r="J261" s="71">
        <v>118497.43</v>
      </c>
      <c r="K261" s="71">
        <v>647953.78</v>
      </c>
      <c r="L261" s="71">
        <v>38361.93</v>
      </c>
      <c r="M261" s="71">
        <v>6322</v>
      </c>
      <c r="N261" s="71">
        <v>88.4</v>
      </c>
      <c r="O261" s="71">
        <v>0</v>
      </c>
      <c r="P261" s="71">
        <v>1</v>
      </c>
      <c r="Q261" s="71">
        <v>0</v>
      </c>
      <c r="R261" s="71">
        <v>0</v>
      </c>
      <c r="S261" s="71">
        <v>0</v>
      </c>
      <c r="T261" s="71">
        <v>0</v>
      </c>
      <c r="U261">
        <v>627666.445880748</v>
      </c>
      <c r="V261">
        <v>74265.5911885664</v>
      </c>
    </row>
    <row r="262" customFormat="1" spans="1:22">
      <c r="A262" s="71" t="s">
        <v>86</v>
      </c>
      <c r="B262" s="177">
        <v>45748</v>
      </c>
      <c r="C262" s="71" t="s">
        <v>22</v>
      </c>
      <c r="D262" s="71" t="s">
        <v>20</v>
      </c>
      <c r="E262" s="71">
        <v>0.087</v>
      </c>
      <c r="F262" s="71">
        <v>14</v>
      </c>
      <c r="G262" s="71">
        <v>1.14</v>
      </c>
      <c r="H262" s="71">
        <v>0</v>
      </c>
      <c r="I262" s="71">
        <v>4</v>
      </c>
      <c r="J262" s="71">
        <v>87614.29</v>
      </c>
      <c r="K262" s="71">
        <v>729440.45</v>
      </c>
      <c r="L262" s="71">
        <v>97480.94</v>
      </c>
      <c r="M262" s="71">
        <v>6840</v>
      </c>
      <c r="N262" s="71">
        <v>79.2</v>
      </c>
      <c r="O262" s="71">
        <v>0</v>
      </c>
      <c r="P262" s="71">
        <v>1</v>
      </c>
      <c r="Q262" s="71">
        <v>0</v>
      </c>
      <c r="R262" s="71">
        <v>0</v>
      </c>
      <c r="S262" s="71">
        <v>0</v>
      </c>
      <c r="T262" s="71">
        <v>0</v>
      </c>
      <c r="U262">
        <v>798125.047249376</v>
      </c>
      <c r="V262">
        <v>179003.497544526</v>
      </c>
    </row>
    <row r="263" customFormat="1" spans="1:22">
      <c r="A263" s="71" t="s">
        <v>87</v>
      </c>
      <c r="B263" s="177">
        <v>45658</v>
      </c>
      <c r="C263" s="71" t="s">
        <v>26</v>
      </c>
      <c r="D263" s="71" t="s">
        <v>23</v>
      </c>
      <c r="E263" s="71">
        <v>0.05</v>
      </c>
      <c r="F263" s="71">
        <v>16</v>
      </c>
      <c r="G263" s="71">
        <v>9.54</v>
      </c>
      <c r="H263" s="71">
        <v>0</v>
      </c>
      <c r="I263" s="71">
        <v>3.7</v>
      </c>
      <c r="J263" s="71">
        <v>148322.43</v>
      </c>
      <c r="K263" s="71">
        <v>764949</v>
      </c>
      <c r="L263" s="71">
        <v>81801.8</v>
      </c>
      <c r="M263" s="71">
        <v>6782</v>
      </c>
      <c r="N263" s="71">
        <v>99</v>
      </c>
      <c r="O263" s="71">
        <v>0</v>
      </c>
      <c r="P263" s="71">
        <v>1</v>
      </c>
      <c r="Q263" s="71">
        <v>0</v>
      </c>
      <c r="R263" s="71">
        <v>0</v>
      </c>
      <c r="S263" s="71">
        <v>0</v>
      </c>
      <c r="T263" s="71">
        <v>0</v>
      </c>
      <c r="U263">
        <v>738261.633251095</v>
      </c>
      <c r="V263">
        <v>131176.607722582</v>
      </c>
    </row>
    <row r="264" customFormat="1" spans="1:22">
      <c r="A264" s="71" t="s">
        <v>87</v>
      </c>
      <c r="B264" s="177">
        <v>45689</v>
      </c>
      <c r="C264" s="71" t="s">
        <v>26</v>
      </c>
      <c r="D264" s="71" t="s">
        <v>23</v>
      </c>
      <c r="E264" s="71">
        <v>0.074</v>
      </c>
      <c r="F264" s="71">
        <v>17</v>
      </c>
      <c r="G264" s="71">
        <v>5.48</v>
      </c>
      <c r="H264" s="71">
        <v>0</v>
      </c>
      <c r="I264" s="71">
        <v>3.2</v>
      </c>
      <c r="J264" s="71">
        <v>144553.64</v>
      </c>
      <c r="K264" s="71">
        <v>799046.94</v>
      </c>
      <c r="L264" s="71">
        <v>63582.11</v>
      </c>
      <c r="M264" s="71">
        <v>6856</v>
      </c>
      <c r="N264" s="71">
        <v>89.5</v>
      </c>
      <c r="O264" s="71">
        <v>0</v>
      </c>
      <c r="P264" s="71">
        <v>0</v>
      </c>
      <c r="Q264" s="71">
        <v>0</v>
      </c>
      <c r="R264" s="71">
        <v>1</v>
      </c>
      <c r="S264" s="71">
        <v>0</v>
      </c>
      <c r="T264" s="71">
        <v>0</v>
      </c>
      <c r="U264">
        <v>785116.578917161</v>
      </c>
      <c r="V264">
        <v>131476.980797306</v>
      </c>
    </row>
    <row r="265" customFormat="1" spans="1:22">
      <c r="A265" s="71" t="s">
        <v>87</v>
      </c>
      <c r="B265" s="177">
        <v>45717</v>
      </c>
      <c r="C265" s="71" t="s">
        <v>26</v>
      </c>
      <c r="D265" s="71" t="s">
        <v>23</v>
      </c>
      <c r="E265" s="71">
        <v>0.059</v>
      </c>
      <c r="F265" s="71">
        <v>13</v>
      </c>
      <c r="G265" s="71">
        <v>0.84</v>
      </c>
      <c r="H265" s="71">
        <v>0</v>
      </c>
      <c r="I265" s="71">
        <v>3.6</v>
      </c>
      <c r="J265" s="71">
        <v>119499.47</v>
      </c>
      <c r="K265" s="71">
        <v>720079.54</v>
      </c>
      <c r="L265" s="71">
        <v>75412.74</v>
      </c>
      <c r="M265" s="71">
        <v>5641</v>
      </c>
      <c r="N265" s="71">
        <v>87.9</v>
      </c>
      <c r="O265" s="71">
        <v>0</v>
      </c>
      <c r="P265" s="71">
        <v>0</v>
      </c>
      <c r="Q265" s="71">
        <v>0</v>
      </c>
      <c r="R265" s="71">
        <v>1</v>
      </c>
      <c r="S265" s="71">
        <v>0</v>
      </c>
      <c r="T265" s="71">
        <v>0</v>
      </c>
      <c r="U265">
        <v>769603.764646925</v>
      </c>
      <c r="V265">
        <v>-36642.020272827</v>
      </c>
    </row>
    <row r="266" customFormat="1" spans="1:22">
      <c r="A266" s="71" t="s">
        <v>87</v>
      </c>
      <c r="B266" s="177">
        <v>45748</v>
      </c>
      <c r="C266" s="71" t="s">
        <v>26</v>
      </c>
      <c r="D266" s="71" t="s">
        <v>23</v>
      </c>
      <c r="E266" s="71">
        <v>0</v>
      </c>
      <c r="F266" s="71">
        <v>17</v>
      </c>
      <c r="G266" s="71">
        <v>4.19</v>
      </c>
      <c r="H266" s="71">
        <v>0</v>
      </c>
      <c r="I266" s="71">
        <v>4.1</v>
      </c>
      <c r="J266" s="71">
        <v>108985.74</v>
      </c>
      <c r="K266" s="71">
        <v>612390.14</v>
      </c>
      <c r="L266" s="71">
        <v>36290.08</v>
      </c>
      <c r="M266" s="71">
        <v>5787</v>
      </c>
      <c r="N266" s="71">
        <v>88.3</v>
      </c>
      <c r="O266" s="71">
        <v>0</v>
      </c>
      <c r="P266" s="71">
        <v>0</v>
      </c>
      <c r="Q266" s="71">
        <v>0</v>
      </c>
      <c r="R266" s="71">
        <v>1</v>
      </c>
      <c r="S266" s="71">
        <v>0</v>
      </c>
      <c r="T266" s="71">
        <v>0</v>
      </c>
      <c r="U266">
        <v>740301.193424128</v>
      </c>
      <c r="V266">
        <v>-129130.130831652</v>
      </c>
    </row>
    <row r="267" customFormat="1" spans="1:22">
      <c r="A267" s="71" t="s">
        <v>88</v>
      </c>
      <c r="B267" s="177">
        <v>45658</v>
      </c>
      <c r="C267" s="71" t="s">
        <v>26</v>
      </c>
      <c r="D267" s="71" t="s">
        <v>30</v>
      </c>
      <c r="E267" s="71">
        <v>0.051</v>
      </c>
      <c r="F267" s="71">
        <v>19</v>
      </c>
      <c r="G267" s="71">
        <v>1.26</v>
      </c>
      <c r="H267" s="71">
        <v>1</v>
      </c>
      <c r="I267" s="71">
        <v>4.3</v>
      </c>
      <c r="J267" s="71">
        <v>126587.01</v>
      </c>
      <c r="K267" s="71">
        <v>840108.12</v>
      </c>
      <c r="L267" s="71">
        <v>65272.58</v>
      </c>
      <c r="M267" s="71">
        <v>8165</v>
      </c>
      <c r="N267" s="71">
        <v>87.8</v>
      </c>
      <c r="O267" s="71">
        <v>0</v>
      </c>
      <c r="P267" s="71">
        <v>0</v>
      </c>
      <c r="Q267" s="71">
        <v>0</v>
      </c>
      <c r="R267" s="71">
        <v>1</v>
      </c>
      <c r="S267" s="71">
        <v>0</v>
      </c>
      <c r="T267" s="71">
        <v>0</v>
      </c>
      <c r="U267">
        <v>718773.755411572</v>
      </c>
      <c r="V267">
        <v>-77714.6130754779</v>
      </c>
    </row>
    <row r="268" customFormat="1" spans="1:22">
      <c r="A268" s="71" t="s">
        <v>88</v>
      </c>
      <c r="B268" s="177">
        <v>45689</v>
      </c>
      <c r="C268" s="71" t="s">
        <v>26</v>
      </c>
      <c r="D268" s="71" t="s">
        <v>30</v>
      </c>
      <c r="E268" s="71">
        <v>0.114</v>
      </c>
      <c r="F268" s="71">
        <v>19</v>
      </c>
      <c r="G268" s="71">
        <v>2.74</v>
      </c>
      <c r="H268" s="71">
        <v>0</v>
      </c>
      <c r="I268" s="71">
        <v>4.6</v>
      </c>
      <c r="J268" s="71">
        <v>116249.87</v>
      </c>
      <c r="K268" s="71">
        <v>697888.09</v>
      </c>
      <c r="L268" s="71">
        <v>28670.43</v>
      </c>
      <c r="M268" s="71">
        <v>7574</v>
      </c>
      <c r="N268" s="71">
        <v>82.7</v>
      </c>
      <c r="O268" s="71">
        <v>1</v>
      </c>
      <c r="P268" s="71">
        <v>0</v>
      </c>
      <c r="Q268" s="71">
        <v>0</v>
      </c>
      <c r="R268" s="71">
        <v>1</v>
      </c>
      <c r="S268" s="71">
        <v>0</v>
      </c>
      <c r="T268" s="71">
        <v>0</v>
      </c>
      <c r="U268">
        <v>614991.229945395</v>
      </c>
      <c r="V268">
        <v>-106981.291661995</v>
      </c>
    </row>
    <row r="269" customFormat="1" spans="1:22">
      <c r="A269" s="71" t="s">
        <v>88</v>
      </c>
      <c r="B269" s="177">
        <v>45717</v>
      </c>
      <c r="C269" s="71" t="s">
        <v>26</v>
      </c>
      <c r="D269" s="71" t="s">
        <v>30</v>
      </c>
      <c r="E269" s="71">
        <v>0.143</v>
      </c>
      <c r="F269" s="71">
        <v>19</v>
      </c>
      <c r="G269" s="71">
        <v>3.69</v>
      </c>
      <c r="H269" s="71">
        <v>0</v>
      </c>
      <c r="I269" s="71">
        <v>4.4</v>
      </c>
      <c r="J269" s="71">
        <v>94662.96</v>
      </c>
      <c r="K269" s="71">
        <v>746115.59</v>
      </c>
      <c r="L269" s="71">
        <v>44189.34</v>
      </c>
      <c r="M269" s="71">
        <v>8634</v>
      </c>
      <c r="N269" s="71">
        <v>87.5</v>
      </c>
      <c r="O269" s="71">
        <v>1</v>
      </c>
      <c r="P269" s="71">
        <v>0</v>
      </c>
      <c r="Q269" s="71">
        <v>0</v>
      </c>
      <c r="R269" s="71">
        <v>1</v>
      </c>
      <c r="S269" s="71">
        <v>0</v>
      </c>
      <c r="T269" s="71">
        <v>0</v>
      </c>
      <c r="U269">
        <v>686748.309612835</v>
      </c>
      <c r="V269">
        <v>-85884.6766167546</v>
      </c>
    </row>
    <row r="270" customFormat="1" spans="1:22">
      <c r="A270" s="71" t="s">
        <v>88</v>
      </c>
      <c r="B270" s="177">
        <v>45748</v>
      </c>
      <c r="C270" s="71" t="s">
        <v>26</v>
      </c>
      <c r="D270" s="71" t="s">
        <v>30</v>
      </c>
      <c r="E270" s="71">
        <v>0.007</v>
      </c>
      <c r="F270" s="71">
        <v>21</v>
      </c>
      <c r="G270" s="71">
        <v>1.82</v>
      </c>
      <c r="H270" s="71">
        <v>0</v>
      </c>
      <c r="I270" s="71">
        <v>3.6</v>
      </c>
      <c r="J270" s="71">
        <v>139676.21</v>
      </c>
      <c r="K270" s="71">
        <v>776110.32</v>
      </c>
      <c r="L270" s="71">
        <v>38397.82</v>
      </c>
      <c r="M270" s="71">
        <v>7836</v>
      </c>
      <c r="N270" s="71">
        <v>92.2</v>
      </c>
      <c r="O270" s="71">
        <v>1</v>
      </c>
      <c r="P270" s="71">
        <v>0</v>
      </c>
      <c r="Q270" s="71">
        <v>0</v>
      </c>
      <c r="R270" s="71">
        <v>1</v>
      </c>
      <c r="S270" s="71">
        <v>0</v>
      </c>
      <c r="T270" s="71">
        <v>0</v>
      </c>
      <c r="U270">
        <v>684070.340397733</v>
      </c>
      <c r="V270">
        <v>20287.3341192522</v>
      </c>
    </row>
    <row r="271" customFormat="1" spans="1:22">
      <c r="A271" s="71" t="s">
        <v>89</v>
      </c>
      <c r="B271" s="177">
        <v>45658</v>
      </c>
      <c r="C271" s="71" t="s">
        <v>29</v>
      </c>
      <c r="D271" s="71" t="s">
        <v>20</v>
      </c>
      <c r="E271" s="71">
        <v>0.135</v>
      </c>
      <c r="F271" s="71">
        <v>10</v>
      </c>
      <c r="G271" s="71">
        <v>6.62</v>
      </c>
      <c r="H271" s="71">
        <v>0</v>
      </c>
      <c r="I271" s="71">
        <v>4.2</v>
      </c>
      <c r="J271" s="71">
        <v>68426.21</v>
      </c>
      <c r="K271" s="71">
        <v>528852.62</v>
      </c>
      <c r="L271" s="71">
        <v>14519.37</v>
      </c>
      <c r="M271" s="71">
        <v>3047</v>
      </c>
      <c r="N271" s="71">
        <v>90.3</v>
      </c>
      <c r="O271" s="71">
        <v>1</v>
      </c>
      <c r="P271" s="71">
        <v>0</v>
      </c>
      <c r="Q271" s="71">
        <v>0</v>
      </c>
      <c r="R271" s="71">
        <v>1</v>
      </c>
      <c r="S271" s="71">
        <v>0</v>
      </c>
      <c r="T271" s="71">
        <v>0</v>
      </c>
      <c r="U271">
        <v>744620.579382678</v>
      </c>
      <c r="V271">
        <v>-68684.5972493762</v>
      </c>
    </row>
    <row r="272" customFormat="1" spans="1:22">
      <c r="A272" s="71" t="s">
        <v>89</v>
      </c>
      <c r="B272" s="177">
        <v>45689</v>
      </c>
      <c r="C272" s="71" t="s">
        <v>29</v>
      </c>
      <c r="D272" s="71" t="s">
        <v>20</v>
      </c>
      <c r="E272" s="71">
        <v>0.169</v>
      </c>
      <c r="F272" s="71">
        <v>13</v>
      </c>
      <c r="G272" s="71">
        <v>4.47</v>
      </c>
      <c r="H272" s="71">
        <v>0</v>
      </c>
      <c r="I272" s="71">
        <v>4.2</v>
      </c>
      <c r="J272" s="71">
        <v>60685.53</v>
      </c>
      <c r="K272" s="71">
        <v>605751.33</v>
      </c>
      <c r="L272" s="71">
        <v>43288.2</v>
      </c>
      <c r="M272" s="71">
        <v>4783</v>
      </c>
      <c r="N272" s="71">
        <v>87.3</v>
      </c>
      <c r="O272" s="71">
        <v>0</v>
      </c>
      <c r="P272" s="71">
        <v>1</v>
      </c>
      <c r="Q272" s="71">
        <v>0</v>
      </c>
      <c r="R272" s="71">
        <v>0</v>
      </c>
      <c r="S272" s="71">
        <v>0</v>
      </c>
      <c r="T272" s="71">
        <v>0</v>
      </c>
      <c r="U272">
        <v>782657.438276399</v>
      </c>
      <c r="V272">
        <v>26687.3667489053</v>
      </c>
    </row>
    <row r="273" customFormat="1" spans="1:22">
      <c r="A273" s="71" t="s">
        <v>89</v>
      </c>
      <c r="B273" s="177">
        <v>45717</v>
      </c>
      <c r="C273" s="71" t="s">
        <v>29</v>
      </c>
      <c r="D273" s="71" t="s">
        <v>20</v>
      </c>
      <c r="E273" s="71">
        <v>0.086</v>
      </c>
      <c r="F273" s="71">
        <v>11</v>
      </c>
      <c r="G273" s="71">
        <v>6.92</v>
      </c>
      <c r="H273" s="71">
        <v>1</v>
      </c>
      <c r="I273" s="71">
        <v>4.2</v>
      </c>
      <c r="J273" s="71">
        <v>111610.89</v>
      </c>
      <c r="K273" s="71">
        <v>677640.65</v>
      </c>
      <c r="L273" s="71">
        <v>51450.55</v>
      </c>
      <c r="M273" s="71">
        <v>4902</v>
      </c>
      <c r="N273" s="71">
        <v>83.7</v>
      </c>
      <c r="O273" s="71">
        <v>0</v>
      </c>
      <c r="P273" s="71">
        <v>1</v>
      </c>
      <c r="Q273" s="71">
        <v>0</v>
      </c>
      <c r="R273" s="71">
        <v>0</v>
      </c>
      <c r="S273" s="71">
        <v>0</v>
      </c>
      <c r="T273" s="71">
        <v>0</v>
      </c>
      <c r="U273">
        <v>692079.078977825</v>
      </c>
      <c r="V273">
        <v>13930.3610828391</v>
      </c>
    </row>
    <row r="274" customFormat="1" spans="1:22">
      <c r="A274" s="71" t="s">
        <v>89</v>
      </c>
      <c r="B274" s="177">
        <v>45748</v>
      </c>
      <c r="C274" s="71" t="s">
        <v>29</v>
      </c>
      <c r="D274" s="71" t="s">
        <v>20</v>
      </c>
      <c r="E274" s="71">
        <v>0.217</v>
      </c>
      <c r="F274" s="71">
        <v>12</v>
      </c>
      <c r="G274" s="71">
        <v>11.78</v>
      </c>
      <c r="H274" s="71">
        <v>0</v>
      </c>
      <c r="I274" s="71">
        <v>3.7</v>
      </c>
      <c r="J274" s="71">
        <v>78908.35</v>
      </c>
      <c r="K274" s="71">
        <v>636613.23</v>
      </c>
      <c r="L274" s="71">
        <v>58688.26</v>
      </c>
      <c r="M274" s="71">
        <v>4022</v>
      </c>
      <c r="N274" s="71">
        <v>93.8</v>
      </c>
      <c r="O274" s="71">
        <v>0</v>
      </c>
      <c r="P274" s="71">
        <v>1</v>
      </c>
      <c r="Q274" s="71">
        <v>0</v>
      </c>
      <c r="R274" s="71">
        <v>0</v>
      </c>
      <c r="S274" s="71">
        <v>0</v>
      </c>
      <c r="T274" s="71">
        <v>0</v>
      </c>
      <c r="U274">
        <v>660260.396495287</v>
      </c>
      <c r="V274">
        <v>-49524.2246469248</v>
      </c>
    </row>
    <row r="275" customFormat="1" spans="1:22">
      <c r="A275" s="71" t="s">
        <v>90</v>
      </c>
      <c r="B275" s="177">
        <v>45658</v>
      </c>
      <c r="C275" s="71" t="s">
        <v>17</v>
      </c>
      <c r="D275" s="71" t="s">
        <v>20</v>
      </c>
      <c r="E275" s="71">
        <v>0.094</v>
      </c>
      <c r="F275" s="71">
        <v>15</v>
      </c>
      <c r="G275" s="71">
        <v>0.5</v>
      </c>
      <c r="H275" s="71">
        <v>0</v>
      </c>
      <c r="I275" s="71">
        <v>3.5</v>
      </c>
      <c r="J275" s="71">
        <v>125368.16</v>
      </c>
      <c r="K275" s="71">
        <v>708985.19</v>
      </c>
      <c r="L275" s="71">
        <v>58981.91</v>
      </c>
      <c r="M275" s="71">
        <v>7324</v>
      </c>
      <c r="N275" s="71">
        <v>95.8</v>
      </c>
      <c r="O275" s="71">
        <v>0</v>
      </c>
      <c r="P275" s="71">
        <v>1</v>
      </c>
      <c r="Q275" s="71">
        <v>0</v>
      </c>
      <c r="R275" s="71">
        <v>0</v>
      </c>
      <c r="S275" s="71">
        <v>0</v>
      </c>
      <c r="T275" s="71">
        <v>0</v>
      </c>
      <c r="U275">
        <v>619896.713211166</v>
      </c>
      <c r="V275">
        <v>-127911.053424128</v>
      </c>
    </row>
    <row r="276" customFormat="1" spans="1:22">
      <c r="A276" s="71" t="s">
        <v>90</v>
      </c>
      <c r="B276" s="177">
        <v>45689</v>
      </c>
      <c r="C276" s="71" t="s">
        <v>17</v>
      </c>
      <c r="D276" s="71" t="s">
        <v>20</v>
      </c>
      <c r="E276" s="71">
        <v>0.211</v>
      </c>
      <c r="F276" s="71">
        <v>20</v>
      </c>
      <c r="G276" s="71">
        <v>0.88</v>
      </c>
      <c r="H276" s="71">
        <v>0</v>
      </c>
      <c r="I276" s="71">
        <v>3.7</v>
      </c>
      <c r="J276" s="71">
        <v>96235.77</v>
      </c>
      <c r="K276" s="71">
        <v>767792.94</v>
      </c>
      <c r="L276" s="71">
        <v>73454.54</v>
      </c>
      <c r="M276" s="71">
        <v>8129</v>
      </c>
      <c r="N276" s="71">
        <v>85.2</v>
      </c>
      <c r="O276" s="71">
        <v>0</v>
      </c>
      <c r="P276" s="71">
        <v>1</v>
      </c>
      <c r="Q276" s="71">
        <v>0</v>
      </c>
      <c r="R276" s="71">
        <v>0</v>
      </c>
      <c r="S276" s="71">
        <v>1</v>
      </c>
      <c r="T276" s="71">
        <v>0</v>
      </c>
      <c r="U276">
        <v>733376.297490274</v>
      </c>
      <c r="V276">
        <v>121334.364588428</v>
      </c>
    </row>
    <row r="277" customFormat="1" spans="1:22">
      <c r="A277" s="71" t="s">
        <v>90</v>
      </c>
      <c r="B277" s="177">
        <v>45717</v>
      </c>
      <c r="C277" s="71" t="s">
        <v>17</v>
      </c>
      <c r="D277" s="71" t="s">
        <v>20</v>
      </c>
      <c r="E277" s="71">
        <v>0.17</v>
      </c>
      <c r="F277" s="71">
        <v>21</v>
      </c>
      <c r="G277" s="71">
        <v>2.25</v>
      </c>
      <c r="H277" s="71">
        <v>0</v>
      </c>
      <c r="I277" s="71">
        <v>3.7</v>
      </c>
      <c r="J277" s="71">
        <v>116273.68</v>
      </c>
      <c r="K277" s="71">
        <v>745580.51</v>
      </c>
      <c r="L277" s="71">
        <v>56602.39</v>
      </c>
      <c r="M277" s="71">
        <v>7969</v>
      </c>
      <c r="N277" s="71">
        <v>88.3</v>
      </c>
      <c r="O277" s="71">
        <v>0</v>
      </c>
      <c r="P277" s="71">
        <v>1</v>
      </c>
      <c r="Q277" s="71">
        <v>0</v>
      </c>
      <c r="R277" s="71">
        <v>0</v>
      </c>
      <c r="S277" s="71">
        <v>1</v>
      </c>
      <c r="T277" s="71">
        <v>0</v>
      </c>
      <c r="U277">
        <v>663124.742921531</v>
      </c>
      <c r="V277">
        <v>82896.8600546053</v>
      </c>
    </row>
    <row r="278" customFormat="1" spans="1:22">
      <c r="A278" s="71" t="s">
        <v>90</v>
      </c>
      <c r="B278" s="177">
        <v>45748</v>
      </c>
      <c r="C278" s="71" t="s">
        <v>17</v>
      </c>
      <c r="D278" s="71" t="s">
        <v>20</v>
      </c>
      <c r="E278" s="71">
        <v>0.026</v>
      </c>
      <c r="F278" s="71">
        <v>15</v>
      </c>
      <c r="G278" s="71">
        <v>0.29</v>
      </c>
      <c r="H278" s="71">
        <v>0</v>
      </c>
      <c r="I278" s="71">
        <v>3.5</v>
      </c>
      <c r="J278" s="71">
        <v>159158.19</v>
      </c>
      <c r="K278" s="71">
        <v>762328.31</v>
      </c>
      <c r="L278" s="71">
        <v>67722.29</v>
      </c>
      <c r="M278" s="71">
        <v>7240</v>
      </c>
      <c r="N278" s="71">
        <v>92.9</v>
      </c>
      <c r="O278" s="71">
        <v>0</v>
      </c>
      <c r="P278" s="71">
        <v>1</v>
      </c>
      <c r="Q278" s="71">
        <v>0</v>
      </c>
      <c r="R278" s="71">
        <v>0</v>
      </c>
      <c r="S278" s="71">
        <v>1</v>
      </c>
      <c r="T278" s="71">
        <v>0</v>
      </c>
      <c r="U278">
        <v>731672.26389016</v>
      </c>
      <c r="V278">
        <v>59367.2803871648</v>
      </c>
    </row>
    <row r="279" customFormat="1" spans="1:22">
      <c r="A279" s="71" t="s">
        <v>91</v>
      </c>
      <c r="B279" s="177">
        <v>45658</v>
      </c>
      <c r="C279" s="71" t="s">
        <v>17</v>
      </c>
      <c r="D279" s="71" t="s">
        <v>30</v>
      </c>
      <c r="E279" s="71">
        <v>0.106</v>
      </c>
      <c r="F279" s="71">
        <v>16</v>
      </c>
      <c r="G279" s="71">
        <v>0.65</v>
      </c>
      <c r="H279" s="71">
        <v>0</v>
      </c>
      <c r="I279" s="71">
        <v>3.6</v>
      </c>
      <c r="J279" s="71">
        <v>118768.66</v>
      </c>
      <c r="K279" s="71">
        <v>660633.99</v>
      </c>
      <c r="L279" s="71">
        <v>48752.92</v>
      </c>
      <c r="M279" s="71">
        <v>8052</v>
      </c>
      <c r="N279" s="71">
        <v>94.9</v>
      </c>
      <c r="O279" s="71">
        <v>0</v>
      </c>
      <c r="P279" s="71">
        <v>1</v>
      </c>
      <c r="Q279" s="71">
        <v>0</v>
      </c>
      <c r="R279" s="71">
        <v>0</v>
      </c>
      <c r="S279" s="71">
        <v>1</v>
      </c>
      <c r="T279" s="71">
        <v>0</v>
      </c>
      <c r="U279">
        <v>711687.706336698</v>
      </c>
      <c r="V279">
        <v>92039.9796022668</v>
      </c>
    </row>
    <row r="280" customFormat="1" spans="1:22">
      <c r="A280" s="71" t="s">
        <v>91</v>
      </c>
      <c r="B280" s="177">
        <v>45689</v>
      </c>
      <c r="C280" s="71" t="s">
        <v>17</v>
      </c>
      <c r="D280" s="71" t="s">
        <v>30</v>
      </c>
      <c r="E280" s="71">
        <v>0.139</v>
      </c>
      <c r="F280" s="71">
        <v>20</v>
      </c>
      <c r="G280" s="71">
        <v>0.2</v>
      </c>
      <c r="H280" s="71">
        <v>0</v>
      </c>
      <c r="I280" s="71">
        <v>3.5</v>
      </c>
      <c r="J280" s="71">
        <v>121032.29</v>
      </c>
      <c r="K280" s="71">
        <v>739374.56</v>
      </c>
      <c r="L280" s="71">
        <v>23914.97</v>
      </c>
      <c r="M280" s="71">
        <v>8018</v>
      </c>
      <c r="N280" s="71">
        <v>89</v>
      </c>
      <c r="O280" s="71">
        <v>0</v>
      </c>
      <c r="P280" s="71">
        <v>0</v>
      </c>
      <c r="Q280" s="71">
        <v>1</v>
      </c>
      <c r="R280" s="71">
        <v>1</v>
      </c>
      <c r="S280" s="71">
        <v>0</v>
      </c>
      <c r="T280" s="71">
        <v>0</v>
      </c>
      <c r="U280">
        <v>515530.501929068</v>
      </c>
      <c r="V280">
        <v>-215767.959382678</v>
      </c>
    </row>
    <row r="281" customFormat="1" spans="1:22">
      <c r="A281" s="71" t="s">
        <v>91</v>
      </c>
      <c r="B281" s="177">
        <v>45717</v>
      </c>
      <c r="C281" s="71" t="s">
        <v>17</v>
      </c>
      <c r="D281" s="71" t="s">
        <v>30</v>
      </c>
      <c r="E281" s="71">
        <v>0.198</v>
      </c>
      <c r="F281" s="71">
        <v>21</v>
      </c>
      <c r="G281" s="71">
        <v>3.63</v>
      </c>
      <c r="H281" s="71">
        <v>1</v>
      </c>
      <c r="I281" s="71">
        <v>3.8</v>
      </c>
      <c r="J281" s="71">
        <v>105052.93</v>
      </c>
      <c r="K281" s="71">
        <v>799756.46</v>
      </c>
      <c r="L281" s="71">
        <v>61995.3</v>
      </c>
      <c r="M281" s="71">
        <v>10192</v>
      </c>
      <c r="N281" s="71">
        <v>87.6</v>
      </c>
      <c r="O281" s="71">
        <v>0</v>
      </c>
      <c r="P281" s="71">
        <v>0</v>
      </c>
      <c r="Q281" s="71">
        <v>1</v>
      </c>
      <c r="R281" s="71">
        <v>1</v>
      </c>
      <c r="S281" s="71">
        <v>0</v>
      </c>
      <c r="T281" s="71">
        <v>0</v>
      </c>
      <c r="U281">
        <v>634556.862715451</v>
      </c>
      <c r="V281">
        <v>-176906.108276399</v>
      </c>
    </row>
    <row r="282" customFormat="1" spans="1:22">
      <c r="A282" s="71" t="s">
        <v>91</v>
      </c>
      <c r="B282" s="177">
        <v>45748</v>
      </c>
      <c r="C282" s="71" t="s">
        <v>17</v>
      </c>
      <c r="D282" s="71" t="s">
        <v>30</v>
      </c>
      <c r="E282" s="71">
        <v>0.111</v>
      </c>
      <c r="F282" s="71">
        <v>15</v>
      </c>
      <c r="G282" s="71">
        <v>0.2</v>
      </c>
      <c r="H282" s="71">
        <v>0</v>
      </c>
      <c r="I282" s="71">
        <v>3.2</v>
      </c>
      <c r="J282" s="71">
        <v>82832.24</v>
      </c>
      <c r="K282" s="71">
        <v>593343</v>
      </c>
      <c r="L282" s="71">
        <v>29344.93</v>
      </c>
      <c r="M282" s="71">
        <v>7446</v>
      </c>
      <c r="N282" s="71">
        <v>86.2</v>
      </c>
      <c r="O282" s="71">
        <v>0</v>
      </c>
      <c r="P282" s="71">
        <v>0</v>
      </c>
      <c r="Q282" s="71">
        <v>1</v>
      </c>
      <c r="R282" s="71">
        <v>1</v>
      </c>
      <c r="S282" s="71">
        <v>0</v>
      </c>
      <c r="T282" s="71">
        <v>0</v>
      </c>
      <c r="U282">
        <v>637625.399683705</v>
      </c>
      <c r="V282">
        <v>-14438.428977825</v>
      </c>
    </row>
    <row r="283" customFormat="1" spans="1:22">
      <c r="A283" s="71" t="s">
        <v>92</v>
      </c>
      <c r="B283" s="177">
        <v>45658</v>
      </c>
      <c r="C283" s="71" t="s">
        <v>29</v>
      </c>
      <c r="D283" s="71" t="s">
        <v>20</v>
      </c>
      <c r="E283" s="71">
        <v>0.052</v>
      </c>
      <c r="F283" s="71">
        <v>17</v>
      </c>
      <c r="G283" s="71">
        <v>6.23</v>
      </c>
      <c r="H283" s="71">
        <v>0</v>
      </c>
      <c r="I283" s="71">
        <v>3.3</v>
      </c>
      <c r="J283" s="71">
        <v>83093.33</v>
      </c>
      <c r="K283" s="71">
        <v>645039.97</v>
      </c>
      <c r="L283" s="71">
        <v>50532.17</v>
      </c>
      <c r="M283" s="71">
        <v>5689</v>
      </c>
      <c r="N283" s="71">
        <v>85.6</v>
      </c>
      <c r="O283" s="71">
        <v>0</v>
      </c>
      <c r="P283" s="71">
        <v>0</v>
      </c>
      <c r="Q283" s="71">
        <v>1</v>
      </c>
      <c r="R283" s="71">
        <v>1</v>
      </c>
      <c r="S283" s="71">
        <v>0</v>
      </c>
      <c r="T283" s="71">
        <v>0</v>
      </c>
      <c r="U283">
        <v>646338.588075588</v>
      </c>
      <c r="V283">
        <v>-23647.1664952867</v>
      </c>
    </row>
    <row r="284" customFormat="1" spans="1:22">
      <c r="A284" s="71" t="s">
        <v>92</v>
      </c>
      <c r="B284" s="177">
        <v>45689</v>
      </c>
      <c r="C284" s="71" t="s">
        <v>29</v>
      </c>
      <c r="D284" s="71" t="s">
        <v>20</v>
      </c>
      <c r="E284" s="71">
        <v>0.153</v>
      </c>
      <c r="F284" s="71">
        <v>14</v>
      </c>
      <c r="G284" s="71">
        <v>1.04</v>
      </c>
      <c r="H284" s="71">
        <v>0</v>
      </c>
      <c r="I284" s="71">
        <v>3.1</v>
      </c>
      <c r="J284" s="71">
        <v>75072.75</v>
      </c>
      <c r="K284" s="71">
        <v>561597.33</v>
      </c>
      <c r="L284" s="71">
        <v>17562.57</v>
      </c>
      <c r="M284" s="71">
        <v>3326</v>
      </c>
      <c r="N284" s="71">
        <v>88.1</v>
      </c>
      <c r="O284" s="71">
        <v>0</v>
      </c>
      <c r="P284" s="71">
        <v>0</v>
      </c>
      <c r="Q284" s="71">
        <v>0</v>
      </c>
      <c r="R284" s="71">
        <v>1</v>
      </c>
      <c r="S284" s="71">
        <v>0</v>
      </c>
      <c r="T284" s="71">
        <v>0</v>
      </c>
      <c r="U284">
        <v>764415.193008954</v>
      </c>
      <c r="V284">
        <v>89088.4767888335</v>
      </c>
    </row>
    <row r="285" customFormat="1" spans="1:22">
      <c r="A285" s="71" t="s">
        <v>92</v>
      </c>
      <c r="B285" s="177">
        <v>45717</v>
      </c>
      <c r="C285" s="71" t="s">
        <v>29</v>
      </c>
      <c r="D285" s="71" t="s">
        <v>20</v>
      </c>
      <c r="E285" s="71">
        <v>0.141</v>
      </c>
      <c r="F285" s="71">
        <v>17</v>
      </c>
      <c r="G285" s="71">
        <v>1.76</v>
      </c>
      <c r="H285" s="71">
        <v>0</v>
      </c>
      <c r="I285" s="71">
        <v>3.1</v>
      </c>
      <c r="J285" s="71">
        <v>114740.64</v>
      </c>
      <c r="K285" s="71">
        <v>635837.74</v>
      </c>
      <c r="L285" s="71">
        <v>47648.71</v>
      </c>
      <c r="M285" s="71">
        <v>5767</v>
      </c>
      <c r="N285" s="71">
        <v>89.8</v>
      </c>
      <c r="O285" s="71">
        <v>0</v>
      </c>
      <c r="P285" s="71">
        <v>0</v>
      </c>
      <c r="Q285" s="71">
        <v>0</v>
      </c>
      <c r="R285" s="71">
        <v>1</v>
      </c>
      <c r="S285" s="71">
        <v>0</v>
      </c>
      <c r="T285" s="71">
        <v>0</v>
      </c>
      <c r="U285">
        <v>766724.738018326</v>
      </c>
      <c r="V285">
        <v>34416.642509726</v>
      </c>
    </row>
    <row r="286" customFormat="1" spans="1:22">
      <c r="A286" s="71" t="s">
        <v>92</v>
      </c>
      <c r="B286" s="177">
        <v>45748</v>
      </c>
      <c r="C286" s="71" t="s">
        <v>29</v>
      </c>
      <c r="D286" s="71" t="s">
        <v>20</v>
      </c>
      <c r="E286" s="71">
        <v>0.247</v>
      </c>
      <c r="F286" s="71">
        <v>18</v>
      </c>
      <c r="G286" s="71">
        <v>2.86</v>
      </c>
      <c r="H286" s="71">
        <v>0</v>
      </c>
      <c r="I286" s="71">
        <v>3</v>
      </c>
      <c r="J286" s="71">
        <v>83839.67</v>
      </c>
      <c r="K286" s="71">
        <v>686737.87</v>
      </c>
      <c r="L286" s="71">
        <v>38297.58</v>
      </c>
      <c r="M286" s="71">
        <v>5893</v>
      </c>
      <c r="N286" s="71">
        <v>77.6</v>
      </c>
      <c r="O286" s="71">
        <v>0</v>
      </c>
      <c r="P286" s="71">
        <v>0</v>
      </c>
      <c r="Q286" s="71">
        <v>0</v>
      </c>
      <c r="R286" s="71">
        <v>1</v>
      </c>
      <c r="S286" s="71">
        <v>0</v>
      </c>
      <c r="T286" s="71">
        <v>0</v>
      </c>
      <c r="U286">
        <v>750460.720439172</v>
      </c>
      <c r="V286">
        <v>82455.7670784693</v>
      </c>
    </row>
    <row r="287" customFormat="1" spans="1:22">
      <c r="A287" s="71" t="s">
        <v>93</v>
      </c>
      <c r="B287" s="177">
        <v>45658</v>
      </c>
      <c r="C287" s="71" t="s">
        <v>26</v>
      </c>
      <c r="D287" s="71" t="s">
        <v>18</v>
      </c>
      <c r="E287" s="71">
        <v>0.13</v>
      </c>
      <c r="F287" s="71">
        <v>17</v>
      </c>
      <c r="G287" s="71">
        <v>18.14</v>
      </c>
      <c r="H287" s="71">
        <v>1</v>
      </c>
      <c r="I287" s="71">
        <v>3.4</v>
      </c>
      <c r="J287" s="71">
        <v>93899.76</v>
      </c>
      <c r="K287" s="71">
        <v>673076.34</v>
      </c>
      <c r="L287" s="71">
        <v>61784.11</v>
      </c>
      <c r="M287" s="71">
        <v>8564</v>
      </c>
      <c r="N287" s="71">
        <v>87.4</v>
      </c>
      <c r="O287" s="71">
        <v>0</v>
      </c>
      <c r="P287" s="71">
        <v>0</v>
      </c>
      <c r="Q287" s="71">
        <v>0</v>
      </c>
      <c r="R287" s="71">
        <v>1</v>
      </c>
      <c r="S287" s="71">
        <v>0</v>
      </c>
      <c r="T287" s="71">
        <v>0</v>
      </c>
      <c r="U287">
        <v>752613.183401317</v>
      </c>
      <c r="V287">
        <v>30656.0461098404</v>
      </c>
    </row>
    <row r="288" customFormat="1" spans="1:22">
      <c r="A288" s="71" t="s">
        <v>93</v>
      </c>
      <c r="B288" s="177">
        <v>45689</v>
      </c>
      <c r="C288" s="71" t="s">
        <v>26</v>
      </c>
      <c r="D288" s="71" t="s">
        <v>18</v>
      </c>
      <c r="E288" s="71">
        <v>0</v>
      </c>
      <c r="F288" s="71">
        <v>19</v>
      </c>
      <c r="G288" s="71">
        <v>3.39</v>
      </c>
      <c r="H288" s="71">
        <v>0</v>
      </c>
      <c r="I288" s="71">
        <v>4</v>
      </c>
      <c r="J288" s="71">
        <v>134282.77</v>
      </c>
      <c r="K288" s="71">
        <v>738548.42</v>
      </c>
      <c r="L288" s="71">
        <v>36832.33</v>
      </c>
      <c r="M288" s="71">
        <v>8001</v>
      </c>
      <c r="N288" s="71">
        <v>88.7</v>
      </c>
      <c r="O288" s="71">
        <v>0</v>
      </c>
      <c r="P288" s="71">
        <v>0</v>
      </c>
      <c r="Q288" s="71">
        <v>0</v>
      </c>
      <c r="R288" s="71">
        <v>0</v>
      </c>
      <c r="S288" s="71">
        <v>1</v>
      </c>
      <c r="T288" s="71">
        <v>0</v>
      </c>
      <c r="U288">
        <v>763487.491059759</v>
      </c>
      <c r="V288">
        <v>-51053.7163366982</v>
      </c>
    </row>
    <row r="289" customFormat="1" spans="1:22">
      <c r="A289" s="71" t="s">
        <v>93</v>
      </c>
      <c r="B289" s="177">
        <v>45717</v>
      </c>
      <c r="C289" s="71" t="s">
        <v>26</v>
      </c>
      <c r="D289" s="71" t="s">
        <v>18</v>
      </c>
      <c r="E289" s="71">
        <v>0.213</v>
      </c>
      <c r="F289" s="71">
        <v>18</v>
      </c>
      <c r="G289" s="71">
        <v>1.44</v>
      </c>
      <c r="H289" s="71">
        <v>0</v>
      </c>
      <c r="I289" s="71">
        <v>3.9</v>
      </c>
      <c r="J289" s="71">
        <v>112057.69</v>
      </c>
      <c r="K289" s="71">
        <v>756619.77</v>
      </c>
      <c r="L289" s="71">
        <v>48609.41</v>
      </c>
      <c r="M289" s="71">
        <v>9324</v>
      </c>
      <c r="N289" s="71">
        <v>86.5</v>
      </c>
      <c r="O289" s="71">
        <v>0</v>
      </c>
      <c r="P289" s="71">
        <v>0</v>
      </c>
      <c r="Q289" s="71">
        <v>0</v>
      </c>
      <c r="R289" s="71">
        <v>0</v>
      </c>
      <c r="S289" s="71">
        <v>1</v>
      </c>
      <c r="T289" s="71">
        <v>0</v>
      </c>
      <c r="U289">
        <v>701739.602400006</v>
      </c>
      <c r="V289">
        <v>223844.058070932</v>
      </c>
    </row>
    <row r="290" customFormat="1" spans="1:22">
      <c r="A290" s="71" t="s">
        <v>93</v>
      </c>
      <c r="B290" s="177">
        <v>45748</v>
      </c>
      <c r="C290" s="71" t="s">
        <v>26</v>
      </c>
      <c r="D290" s="71" t="s">
        <v>18</v>
      </c>
      <c r="E290" s="71">
        <v>0.004</v>
      </c>
      <c r="F290" s="71">
        <v>23</v>
      </c>
      <c r="G290" s="71">
        <v>3.65</v>
      </c>
      <c r="H290" s="71">
        <v>0</v>
      </c>
      <c r="I290" s="71">
        <v>3.7</v>
      </c>
      <c r="J290" s="71">
        <v>149802.04</v>
      </c>
      <c r="K290" s="71">
        <v>761122.42</v>
      </c>
      <c r="L290" s="71">
        <v>70284.06</v>
      </c>
      <c r="M290" s="71">
        <v>9109</v>
      </c>
      <c r="N290" s="71">
        <v>87</v>
      </c>
      <c r="O290" s="71">
        <v>0</v>
      </c>
      <c r="P290" s="71">
        <v>0</v>
      </c>
      <c r="Q290" s="71">
        <v>0</v>
      </c>
      <c r="R290" s="71">
        <v>0</v>
      </c>
      <c r="S290" s="71">
        <v>1</v>
      </c>
      <c r="T290" s="71">
        <v>0</v>
      </c>
      <c r="U290">
        <v>816458.119911692</v>
      </c>
      <c r="V290">
        <v>165199.597284549</v>
      </c>
    </row>
    <row r="291" customFormat="1" spans="1:22">
      <c r="A291" s="71" t="s">
        <v>94</v>
      </c>
      <c r="B291" s="177">
        <v>45658</v>
      </c>
      <c r="C291" s="71" t="s">
        <v>26</v>
      </c>
      <c r="D291" s="71" t="s">
        <v>20</v>
      </c>
      <c r="E291" s="71">
        <v>0.069</v>
      </c>
      <c r="F291" s="71">
        <v>10</v>
      </c>
      <c r="G291" s="71">
        <v>1.23</v>
      </c>
      <c r="H291" s="71">
        <v>1</v>
      </c>
      <c r="I291" s="71">
        <v>3.8</v>
      </c>
      <c r="J291" s="71">
        <v>63619.98</v>
      </c>
      <c r="K291" s="71">
        <v>524899.57</v>
      </c>
      <c r="L291" s="71">
        <v>45940.39</v>
      </c>
      <c r="M291" s="71">
        <v>4022</v>
      </c>
      <c r="N291" s="71">
        <v>83</v>
      </c>
      <c r="O291" s="71">
        <v>0</v>
      </c>
      <c r="P291" s="71">
        <v>0</v>
      </c>
      <c r="Q291" s="71">
        <v>0</v>
      </c>
      <c r="R291" s="71">
        <v>0</v>
      </c>
      <c r="S291" s="71">
        <v>1</v>
      </c>
      <c r="T291" s="71">
        <v>0</v>
      </c>
      <c r="U291">
        <v>680532.967750858</v>
      </c>
      <c r="V291">
        <v>-44282.3996837052</v>
      </c>
    </row>
    <row r="292" customFormat="1" spans="1:22">
      <c r="A292" s="71" t="s">
        <v>94</v>
      </c>
      <c r="B292" s="177">
        <v>45689</v>
      </c>
      <c r="C292" s="71" t="s">
        <v>26</v>
      </c>
      <c r="D292" s="71" t="s">
        <v>20</v>
      </c>
      <c r="E292" s="71">
        <v>0.051</v>
      </c>
      <c r="F292" s="71">
        <v>15</v>
      </c>
      <c r="G292" s="71">
        <v>3.09</v>
      </c>
      <c r="H292" s="71">
        <v>0</v>
      </c>
      <c r="I292" s="71">
        <v>4</v>
      </c>
      <c r="J292" s="71">
        <v>86475.51</v>
      </c>
      <c r="K292" s="71">
        <v>555557.77</v>
      </c>
      <c r="L292" s="71">
        <v>34771.26</v>
      </c>
      <c r="M292" s="71">
        <v>4355</v>
      </c>
      <c r="N292" s="71">
        <v>87.9</v>
      </c>
      <c r="O292" s="71">
        <v>0</v>
      </c>
      <c r="P292" s="71">
        <v>0</v>
      </c>
      <c r="Q292" s="71">
        <v>1</v>
      </c>
      <c r="R292" s="71">
        <v>1</v>
      </c>
      <c r="S292" s="71">
        <v>0</v>
      </c>
      <c r="T292" s="71">
        <v>0</v>
      </c>
      <c r="U292">
        <v>644442.539226172</v>
      </c>
      <c r="V292">
        <v>-1298.61807558825</v>
      </c>
    </row>
    <row r="293" customFormat="1" spans="1:22">
      <c r="A293" s="71" t="s">
        <v>94</v>
      </c>
      <c r="B293" s="177">
        <v>45717</v>
      </c>
      <c r="C293" s="71" t="s">
        <v>26</v>
      </c>
      <c r="D293" s="71" t="s">
        <v>20</v>
      </c>
      <c r="E293" s="71">
        <v>0.07</v>
      </c>
      <c r="F293" s="71">
        <v>17</v>
      </c>
      <c r="G293" s="71">
        <v>3.15</v>
      </c>
      <c r="H293" s="71">
        <v>0</v>
      </c>
      <c r="I293" s="71">
        <v>4</v>
      </c>
      <c r="J293" s="71">
        <v>127231.74</v>
      </c>
      <c r="K293" s="71">
        <v>714083.68</v>
      </c>
      <c r="L293" s="71">
        <v>66104.19</v>
      </c>
      <c r="M293" s="71">
        <v>5745</v>
      </c>
      <c r="N293" s="71">
        <v>95.8</v>
      </c>
      <c r="O293" s="71">
        <v>0</v>
      </c>
      <c r="P293" s="71">
        <v>0</v>
      </c>
      <c r="Q293" s="71">
        <v>1</v>
      </c>
      <c r="R293" s="71">
        <v>1</v>
      </c>
      <c r="S293" s="71">
        <v>0</v>
      </c>
      <c r="T293" s="71">
        <v>0</v>
      </c>
      <c r="U293">
        <v>513720.473950784</v>
      </c>
      <c r="V293">
        <v>-202817.863008954</v>
      </c>
    </row>
    <row r="294" customFormat="1" spans="1:22">
      <c r="A294" s="71" t="s">
        <v>94</v>
      </c>
      <c r="B294" s="177">
        <v>45748</v>
      </c>
      <c r="C294" s="71" t="s">
        <v>26</v>
      </c>
      <c r="D294" s="71" t="s">
        <v>20</v>
      </c>
      <c r="E294" s="71">
        <v>0.122</v>
      </c>
      <c r="F294" s="71">
        <v>11</v>
      </c>
      <c r="G294" s="71">
        <v>6.44</v>
      </c>
      <c r="H294" s="71">
        <v>0</v>
      </c>
      <c r="I294" s="71">
        <v>4.2</v>
      </c>
      <c r="J294" s="71">
        <v>93372.75</v>
      </c>
      <c r="K294" s="71">
        <v>497439.82</v>
      </c>
      <c r="L294" s="71">
        <v>18599.21</v>
      </c>
      <c r="M294" s="71">
        <v>3027</v>
      </c>
      <c r="N294" s="71">
        <v>80.9</v>
      </c>
      <c r="O294" s="71">
        <v>0</v>
      </c>
      <c r="P294" s="71">
        <v>0</v>
      </c>
      <c r="Q294" s="71">
        <v>1</v>
      </c>
      <c r="R294" s="71">
        <v>1</v>
      </c>
      <c r="S294" s="71">
        <v>0</v>
      </c>
      <c r="T294" s="71">
        <v>0</v>
      </c>
      <c r="U294">
        <v>637159.541239768</v>
      </c>
      <c r="V294">
        <v>-130886.998018326</v>
      </c>
    </row>
    <row r="295" customFormat="1" spans="1:22">
      <c r="A295" s="71" t="s">
        <v>95</v>
      </c>
      <c r="B295" s="177">
        <v>45658</v>
      </c>
      <c r="C295" s="71" t="s">
        <v>29</v>
      </c>
      <c r="D295" s="71" t="s">
        <v>18</v>
      </c>
      <c r="E295" s="71">
        <v>0.009</v>
      </c>
      <c r="F295" s="71">
        <v>13</v>
      </c>
      <c r="G295" s="71">
        <v>0.2</v>
      </c>
      <c r="H295" s="71">
        <v>1</v>
      </c>
      <c r="I295" s="71">
        <v>4.5</v>
      </c>
      <c r="J295" s="71">
        <v>122636.86</v>
      </c>
      <c r="K295" s="71">
        <v>636775.66</v>
      </c>
      <c r="L295" s="71">
        <v>60183.06</v>
      </c>
      <c r="M295" s="71">
        <v>5562</v>
      </c>
      <c r="N295" s="71">
        <v>86.3</v>
      </c>
      <c r="O295" s="71">
        <v>0</v>
      </c>
      <c r="P295" s="71">
        <v>0</v>
      </c>
      <c r="Q295" s="71">
        <v>1</v>
      </c>
      <c r="R295" s="71">
        <v>1</v>
      </c>
      <c r="S295" s="71">
        <v>0</v>
      </c>
      <c r="T295" s="71">
        <v>0</v>
      </c>
      <c r="U295">
        <v>594185.886065269</v>
      </c>
      <c r="V295">
        <v>-63722.8504391724</v>
      </c>
    </row>
    <row r="296" customFormat="1" spans="1:22">
      <c r="A296" s="71" t="s">
        <v>95</v>
      </c>
      <c r="B296" s="177">
        <v>45689</v>
      </c>
      <c r="C296" s="71" t="s">
        <v>29</v>
      </c>
      <c r="D296" s="71" t="s">
        <v>18</v>
      </c>
      <c r="E296" s="71">
        <v>0.14</v>
      </c>
      <c r="F296" s="71">
        <v>10</v>
      </c>
      <c r="G296" s="71">
        <v>0.59</v>
      </c>
      <c r="H296" s="71">
        <v>0</v>
      </c>
      <c r="I296" s="71">
        <v>4.5</v>
      </c>
      <c r="J296" s="71">
        <v>123782.67</v>
      </c>
      <c r="K296" s="71">
        <v>633009.53</v>
      </c>
      <c r="L296" s="71">
        <v>74539.14</v>
      </c>
      <c r="M296" s="71">
        <v>4487</v>
      </c>
      <c r="N296" s="71">
        <v>90.4</v>
      </c>
      <c r="O296" s="71">
        <v>0</v>
      </c>
      <c r="P296" s="71">
        <v>1</v>
      </c>
      <c r="Q296" s="71">
        <v>0</v>
      </c>
      <c r="R296" s="71">
        <v>0</v>
      </c>
      <c r="S296" s="71">
        <v>0</v>
      </c>
      <c r="T296" s="71">
        <v>1</v>
      </c>
      <c r="U296">
        <v>741556.303519655</v>
      </c>
      <c r="V296">
        <v>-79536.8434013169</v>
      </c>
    </row>
    <row r="297" customFormat="1" spans="1:22">
      <c r="A297" s="71" t="s">
        <v>95</v>
      </c>
      <c r="B297" s="177">
        <v>45717</v>
      </c>
      <c r="C297" s="71" t="s">
        <v>29</v>
      </c>
      <c r="D297" s="71" t="s">
        <v>18</v>
      </c>
      <c r="E297" s="71">
        <v>0.183</v>
      </c>
      <c r="F297" s="71">
        <v>11</v>
      </c>
      <c r="G297" s="71">
        <v>0.2</v>
      </c>
      <c r="H297" s="71">
        <v>1</v>
      </c>
      <c r="I297" s="71">
        <v>4.2</v>
      </c>
      <c r="J297" s="71">
        <v>126789.25</v>
      </c>
      <c r="K297" s="71">
        <v>609949</v>
      </c>
      <c r="L297" s="71">
        <v>55371.97</v>
      </c>
      <c r="M297" s="71">
        <v>4162</v>
      </c>
      <c r="N297" s="71">
        <v>92</v>
      </c>
      <c r="O297" s="71">
        <v>0</v>
      </c>
      <c r="P297" s="71">
        <v>1</v>
      </c>
      <c r="Q297" s="71">
        <v>0</v>
      </c>
      <c r="R297" s="71">
        <v>0</v>
      </c>
      <c r="S297" s="71">
        <v>0</v>
      </c>
      <c r="T297" s="71">
        <v>1</v>
      </c>
      <c r="U297">
        <v>708986.621439825</v>
      </c>
      <c r="V297">
        <v>-24939.0710597585</v>
      </c>
    </row>
    <row r="298" customFormat="1" spans="1:22">
      <c r="A298" s="71" t="s">
        <v>95</v>
      </c>
      <c r="B298" s="177">
        <v>45748</v>
      </c>
      <c r="C298" s="71" t="s">
        <v>29</v>
      </c>
      <c r="D298" s="71" t="s">
        <v>18</v>
      </c>
      <c r="E298" s="71">
        <v>0.174</v>
      </c>
      <c r="F298" s="71">
        <v>13</v>
      </c>
      <c r="G298" s="71">
        <v>1.36</v>
      </c>
      <c r="H298" s="71">
        <v>0</v>
      </c>
      <c r="I298" s="71">
        <v>4.8</v>
      </c>
      <c r="J298" s="71">
        <v>99905.52</v>
      </c>
      <c r="K298" s="71">
        <v>548103.7</v>
      </c>
      <c r="L298" s="71">
        <v>40928.69</v>
      </c>
      <c r="M298" s="71">
        <v>4094</v>
      </c>
      <c r="N298" s="71">
        <v>82.4</v>
      </c>
      <c r="O298" s="71">
        <v>0</v>
      </c>
      <c r="P298" s="71">
        <v>1</v>
      </c>
      <c r="Q298" s="71">
        <v>0</v>
      </c>
      <c r="R298" s="71">
        <v>0</v>
      </c>
      <c r="S298" s="71">
        <v>0</v>
      </c>
      <c r="T298" s="71">
        <v>1</v>
      </c>
      <c r="U298">
        <v>761263.745242917</v>
      </c>
      <c r="V298">
        <v>54880.1675999936</v>
      </c>
    </row>
    <row r="299" customFormat="1" spans="1:22">
      <c r="A299" s="71" t="s">
        <v>96</v>
      </c>
      <c r="B299" s="177">
        <v>45658</v>
      </c>
      <c r="C299" s="71" t="s">
        <v>17</v>
      </c>
      <c r="D299" s="71" t="s">
        <v>18</v>
      </c>
      <c r="E299" s="71">
        <v>0.273</v>
      </c>
      <c r="F299" s="71">
        <v>23</v>
      </c>
      <c r="G299" s="71">
        <v>3.34</v>
      </c>
      <c r="H299" s="71">
        <v>0</v>
      </c>
      <c r="I299" s="71">
        <v>3.7</v>
      </c>
      <c r="J299" s="71">
        <v>75592.28</v>
      </c>
      <c r="K299" s="71">
        <v>729424.42</v>
      </c>
      <c r="L299" s="71">
        <v>70012.41</v>
      </c>
      <c r="M299" s="71">
        <v>8484</v>
      </c>
      <c r="N299" s="71">
        <v>72.9</v>
      </c>
      <c r="O299" s="71">
        <v>0</v>
      </c>
      <c r="P299" s="71">
        <v>1</v>
      </c>
      <c r="Q299" s="71">
        <v>0</v>
      </c>
      <c r="R299" s="71">
        <v>0</v>
      </c>
      <c r="S299" s="71">
        <v>0</v>
      </c>
      <c r="T299" s="71">
        <v>1</v>
      </c>
      <c r="U299">
        <v>781221.763533157</v>
      </c>
      <c r="V299">
        <v>-55335.6999116915</v>
      </c>
    </row>
    <row r="300" customFormat="1" spans="1:22">
      <c r="A300" s="71" t="s">
        <v>96</v>
      </c>
      <c r="B300" s="177">
        <v>45689</v>
      </c>
      <c r="C300" s="71" t="s">
        <v>17</v>
      </c>
      <c r="D300" s="71" t="s">
        <v>18</v>
      </c>
      <c r="E300" s="71">
        <v>0.284</v>
      </c>
      <c r="F300" s="71">
        <v>22</v>
      </c>
      <c r="G300" s="71">
        <v>0.33</v>
      </c>
      <c r="H300" s="71">
        <v>0</v>
      </c>
      <c r="I300" s="71">
        <v>4</v>
      </c>
      <c r="J300" s="71">
        <v>72455.35</v>
      </c>
      <c r="K300" s="71">
        <v>696261.49</v>
      </c>
      <c r="L300" s="71">
        <v>68909.26</v>
      </c>
      <c r="M300" s="71">
        <v>7794</v>
      </c>
      <c r="N300" s="71">
        <v>89</v>
      </c>
      <c r="O300" s="71">
        <v>0</v>
      </c>
      <c r="P300" s="71">
        <v>1</v>
      </c>
      <c r="Q300" s="71">
        <v>0</v>
      </c>
      <c r="R300" s="71">
        <v>1</v>
      </c>
      <c r="S300" s="71">
        <v>0</v>
      </c>
      <c r="T300" s="71">
        <v>0</v>
      </c>
      <c r="U300">
        <v>568202.818624982</v>
      </c>
      <c r="V300">
        <v>-155633.397750858</v>
      </c>
    </row>
    <row r="301" customFormat="1" spans="1:22">
      <c r="A301" s="71" t="s">
        <v>96</v>
      </c>
      <c r="B301" s="177">
        <v>45717</v>
      </c>
      <c r="C301" s="71" t="s">
        <v>17</v>
      </c>
      <c r="D301" s="71" t="s">
        <v>18</v>
      </c>
      <c r="E301" s="71">
        <v>0.032</v>
      </c>
      <c r="F301" s="71">
        <v>21</v>
      </c>
      <c r="G301" s="71">
        <v>3.44</v>
      </c>
      <c r="H301" s="71">
        <v>1</v>
      </c>
      <c r="I301" s="71">
        <v>4.3</v>
      </c>
      <c r="J301" s="71">
        <v>110077.42</v>
      </c>
      <c r="K301" s="71">
        <v>813316.71</v>
      </c>
      <c r="L301" s="71">
        <v>56737.3</v>
      </c>
      <c r="M301" s="71">
        <v>8300</v>
      </c>
      <c r="N301" s="71">
        <v>83.2</v>
      </c>
      <c r="O301" s="71">
        <v>0</v>
      </c>
      <c r="P301" s="71">
        <v>1</v>
      </c>
      <c r="Q301" s="71">
        <v>0</v>
      </c>
      <c r="R301" s="71">
        <v>1</v>
      </c>
      <c r="S301" s="71">
        <v>0</v>
      </c>
      <c r="T301" s="71">
        <v>0</v>
      </c>
      <c r="U301">
        <v>587354.868473473</v>
      </c>
      <c r="V301">
        <v>-88884.7692261724</v>
      </c>
    </row>
    <row r="302" customFormat="1" spans="1:22">
      <c r="A302" s="71" t="s">
        <v>96</v>
      </c>
      <c r="B302" s="177">
        <v>45748</v>
      </c>
      <c r="C302" s="71" t="s">
        <v>17</v>
      </c>
      <c r="D302" s="71" t="s">
        <v>18</v>
      </c>
      <c r="E302" s="71">
        <v>0</v>
      </c>
      <c r="F302" s="71">
        <v>15</v>
      </c>
      <c r="G302" s="71">
        <v>5.33</v>
      </c>
      <c r="H302" s="71">
        <v>0</v>
      </c>
      <c r="I302" s="71">
        <v>4.1</v>
      </c>
      <c r="J302" s="71">
        <v>111266.63</v>
      </c>
      <c r="K302" s="71">
        <v>702068.92</v>
      </c>
      <c r="L302" s="71">
        <v>54080.91</v>
      </c>
      <c r="M302" s="71">
        <v>7083</v>
      </c>
      <c r="N302" s="71">
        <v>97</v>
      </c>
      <c r="O302" s="71">
        <v>0</v>
      </c>
      <c r="P302" s="71">
        <v>1</v>
      </c>
      <c r="Q302" s="71">
        <v>0</v>
      </c>
      <c r="R302" s="71">
        <v>1</v>
      </c>
      <c r="S302" s="71">
        <v>0</v>
      </c>
      <c r="T302" s="71">
        <v>0</v>
      </c>
      <c r="U302">
        <v>695048.783182431</v>
      </c>
      <c r="V302">
        <v>200363.206049216</v>
      </c>
    </row>
    <row r="303" customFormat="1" spans="1:22">
      <c r="A303" s="71" t="s">
        <v>97</v>
      </c>
      <c r="B303" s="177">
        <v>45658</v>
      </c>
      <c r="C303" s="71" t="s">
        <v>29</v>
      </c>
      <c r="D303" s="71" t="s">
        <v>20</v>
      </c>
      <c r="E303" s="71">
        <v>0.096</v>
      </c>
      <c r="F303" s="71">
        <v>8</v>
      </c>
      <c r="G303" s="71">
        <v>6.04</v>
      </c>
      <c r="H303" s="71">
        <v>0</v>
      </c>
      <c r="I303" s="71">
        <v>4.5</v>
      </c>
      <c r="J303" s="71">
        <v>100769.17</v>
      </c>
      <c r="K303" s="71">
        <v>546223.7</v>
      </c>
      <c r="L303" s="71">
        <v>51996.32</v>
      </c>
      <c r="M303" s="71">
        <v>3834</v>
      </c>
      <c r="N303" s="71">
        <v>86.7</v>
      </c>
      <c r="O303" s="71">
        <v>0</v>
      </c>
      <c r="P303" s="71">
        <v>1</v>
      </c>
      <c r="Q303" s="71">
        <v>0</v>
      </c>
      <c r="R303" s="71">
        <v>1</v>
      </c>
      <c r="S303" s="71">
        <v>0</v>
      </c>
      <c r="T303" s="71">
        <v>0</v>
      </c>
      <c r="U303">
        <v>502441.958100995</v>
      </c>
      <c r="V303">
        <v>-139719.721239768</v>
      </c>
    </row>
    <row r="304" customFormat="1" spans="1:22">
      <c r="A304" s="71" t="s">
        <v>97</v>
      </c>
      <c r="B304" s="177">
        <v>45689</v>
      </c>
      <c r="C304" s="71" t="s">
        <v>29</v>
      </c>
      <c r="D304" s="71" t="s">
        <v>20</v>
      </c>
      <c r="E304" s="71">
        <v>0.119</v>
      </c>
      <c r="F304" s="71">
        <v>9</v>
      </c>
      <c r="G304" s="71">
        <v>1.6</v>
      </c>
      <c r="H304" s="71">
        <v>0</v>
      </c>
      <c r="I304" s="71">
        <v>4.2</v>
      </c>
      <c r="J304" s="71">
        <v>55063.39</v>
      </c>
      <c r="K304" s="71">
        <v>533121.26</v>
      </c>
      <c r="L304" s="71">
        <v>40102.88</v>
      </c>
      <c r="M304" s="71">
        <v>2358</v>
      </c>
      <c r="N304" s="71">
        <v>88.7</v>
      </c>
      <c r="O304" s="71">
        <v>0</v>
      </c>
      <c r="P304" s="71">
        <v>0</v>
      </c>
      <c r="Q304" s="71">
        <v>1</v>
      </c>
      <c r="R304" s="71">
        <v>0</v>
      </c>
      <c r="S304" s="71">
        <v>0</v>
      </c>
      <c r="T304" s="71">
        <v>1</v>
      </c>
      <c r="U304">
        <v>653683.944339322</v>
      </c>
      <c r="V304">
        <v>42589.7739347311</v>
      </c>
    </row>
    <row r="305" customFormat="1" spans="1:22">
      <c r="A305" s="71" t="s">
        <v>97</v>
      </c>
      <c r="B305" s="177">
        <v>45717</v>
      </c>
      <c r="C305" s="71" t="s">
        <v>29</v>
      </c>
      <c r="D305" s="71" t="s">
        <v>20</v>
      </c>
      <c r="E305" s="71">
        <v>0.214</v>
      </c>
      <c r="F305" s="71">
        <v>10</v>
      </c>
      <c r="G305" s="71">
        <v>8.96</v>
      </c>
      <c r="H305" s="71">
        <v>0</v>
      </c>
      <c r="I305" s="71">
        <v>4.7</v>
      </c>
      <c r="J305" s="71">
        <v>69656.7</v>
      </c>
      <c r="K305" s="71">
        <v>498970.32</v>
      </c>
      <c r="L305" s="71">
        <v>59825.51</v>
      </c>
      <c r="M305" s="71">
        <v>1231</v>
      </c>
      <c r="N305" s="71">
        <v>84.8</v>
      </c>
      <c r="O305" s="71">
        <v>0</v>
      </c>
      <c r="P305" s="71">
        <v>0</v>
      </c>
      <c r="Q305" s="71">
        <v>1</v>
      </c>
      <c r="R305" s="71">
        <v>0</v>
      </c>
      <c r="S305" s="71">
        <v>0</v>
      </c>
      <c r="T305" s="71">
        <v>1</v>
      </c>
      <c r="U305">
        <v>631222.928638039</v>
      </c>
      <c r="V305">
        <v>-108546.773519655</v>
      </c>
    </row>
    <row r="306" customFormat="1" spans="1:22">
      <c r="A306" s="71" t="s">
        <v>97</v>
      </c>
      <c r="B306" s="177">
        <v>45748</v>
      </c>
      <c r="C306" s="71" t="s">
        <v>29</v>
      </c>
      <c r="D306" s="71" t="s">
        <v>20</v>
      </c>
      <c r="E306" s="71">
        <v>0.171</v>
      </c>
      <c r="F306" s="71">
        <v>9</v>
      </c>
      <c r="G306" s="71">
        <v>0.74</v>
      </c>
      <c r="H306" s="71">
        <v>0</v>
      </c>
      <c r="I306" s="71">
        <v>4.6</v>
      </c>
      <c r="J306" s="71">
        <v>96435.6</v>
      </c>
      <c r="K306" s="71">
        <v>487738.26</v>
      </c>
      <c r="L306" s="71">
        <v>27398.28</v>
      </c>
      <c r="M306" s="71">
        <v>1723</v>
      </c>
      <c r="N306" s="71">
        <v>81</v>
      </c>
      <c r="O306" s="71">
        <v>0</v>
      </c>
      <c r="P306" s="71">
        <v>0</v>
      </c>
      <c r="Q306" s="71">
        <v>1</v>
      </c>
      <c r="R306" s="71">
        <v>0</v>
      </c>
      <c r="S306" s="71">
        <v>0</v>
      </c>
      <c r="T306" s="71">
        <v>1</v>
      </c>
      <c r="U306">
        <v>602179.063521801</v>
      </c>
      <c r="V306">
        <v>-99037.621439825</v>
      </c>
    </row>
    <row r="307" customFormat="1" spans="1:22">
      <c r="A307" s="71" t="s">
        <v>98</v>
      </c>
      <c r="B307" s="177">
        <v>45658</v>
      </c>
      <c r="C307" s="71" t="s">
        <v>29</v>
      </c>
      <c r="D307" s="71" t="s">
        <v>20</v>
      </c>
      <c r="E307" s="71">
        <v>0.036</v>
      </c>
      <c r="F307" s="71">
        <v>12</v>
      </c>
      <c r="G307" s="71">
        <v>6.13</v>
      </c>
      <c r="H307" s="71">
        <v>0</v>
      </c>
      <c r="I307" s="71">
        <v>3.3</v>
      </c>
      <c r="J307" s="71">
        <v>126435.42</v>
      </c>
      <c r="K307" s="71">
        <v>668459.37</v>
      </c>
      <c r="L307" s="71">
        <v>55599.56</v>
      </c>
      <c r="M307" s="71">
        <v>5896</v>
      </c>
      <c r="N307" s="71">
        <v>93.1</v>
      </c>
      <c r="O307" s="71">
        <v>0</v>
      </c>
      <c r="P307" s="71">
        <v>0</v>
      </c>
      <c r="Q307" s="71">
        <v>1</v>
      </c>
      <c r="R307" s="71">
        <v>0</v>
      </c>
      <c r="S307" s="71">
        <v>0</v>
      </c>
      <c r="T307" s="71">
        <v>1</v>
      </c>
      <c r="U307">
        <v>554284.611355989</v>
      </c>
      <c r="V307">
        <v>-213160.045242917</v>
      </c>
    </row>
    <row r="308" customFormat="1" spans="1:22">
      <c r="A308" s="71" t="s">
        <v>98</v>
      </c>
      <c r="B308" s="177">
        <v>45689</v>
      </c>
      <c r="C308" s="71" t="s">
        <v>29</v>
      </c>
      <c r="D308" s="71" t="s">
        <v>20</v>
      </c>
      <c r="E308" s="71">
        <v>0.102</v>
      </c>
      <c r="F308" s="71">
        <v>14</v>
      </c>
      <c r="G308" s="71">
        <v>1.41</v>
      </c>
      <c r="H308" s="71">
        <v>0</v>
      </c>
      <c r="I308" s="71">
        <v>3.3</v>
      </c>
      <c r="J308" s="71">
        <v>162524.05</v>
      </c>
      <c r="K308" s="71">
        <v>763162.45</v>
      </c>
      <c r="L308" s="71">
        <v>55477.61</v>
      </c>
      <c r="M308" s="71">
        <v>5903</v>
      </c>
      <c r="N308" s="71">
        <v>96.2</v>
      </c>
      <c r="O308" s="71">
        <v>0</v>
      </c>
      <c r="P308" s="71">
        <v>0</v>
      </c>
      <c r="Q308" s="71">
        <v>0</v>
      </c>
      <c r="R308" s="71">
        <v>0</v>
      </c>
      <c r="S308" s="71">
        <v>0</v>
      </c>
      <c r="T308" s="71">
        <v>1</v>
      </c>
      <c r="U308">
        <v>709358.989048582</v>
      </c>
      <c r="V308">
        <v>-51797.3435331573</v>
      </c>
    </row>
    <row r="309" customFormat="1" spans="1:22">
      <c r="A309" s="71" t="s">
        <v>98</v>
      </c>
      <c r="B309" s="177">
        <v>45717</v>
      </c>
      <c r="C309" s="71" t="s">
        <v>29</v>
      </c>
      <c r="D309" s="71" t="s">
        <v>20</v>
      </c>
      <c r="E309" s="71">
        <v>0.114</v>
      </c>
      <c r="F309" s="71">
        <v>11</v>
      </c>
      <c r="G309" s="71">
        <v>3.75</v>
      </c>
      <c r="H309" s="71">
        <v>0</v>
      </c>
      <c r="I309" s="71">
        <v>3.1</v>
      </c>
      <c r="J309" s="71">
        <v>134009.92</v>
      </c>
      <c r="K309" s="71">
        <v>599017.33</v>
      </c>
      <c r="L309" s="71">
        <v>46174.7</v>
      </c>
      <c r="M309" s="71">
        <v>4898</v>
      </c>
      <c r="N309" s="71">
        <v>91.7</v>
      </c>
      <c r="O309" s="71">
        <v>0</v>
      </c>
      <c r="P309" s="71">
        <v>0</v>
      </c>
      <c r="Q309" s="71">
        <v>0</v>
      </c>
      <c r="R309" s="71">
        <v>0</v>
      </c>
      <c r="S309" s="71">
        <v>0</v>
      </c>
      <c r="T309" s="71">
        <v>1</v>
      </c>
      <c r="U309">
        <v>748937.722472523</v>
      </c>
      <c r="V309">
        <v>128058.671375018</v>
      </c>
    </row>
    <row r="310" customFormat="1" spans="1:22">
      <c r="A310" s="71" t="s">
        <v>98</v>
      </c>
      <c r="B310" s="177">
        <v>45748</v>
      </c>
      <c r="C310" s="71" t="s">
        <v>29</v>
      </c>
      <c r="D310" s="71" t="s">
        <v>20</v>
      </c>
      <c r="E310" s="71">
        <v>0.117</v>
      </c>
      <c r="F310" s="71">
        <v>6</v>
      </c>
      <c r="G310" s="71">
        <v>15.06</v>
      </c>
      <c r="H310" s="71">
        <v>0</v>
      </c>
      <c r="I310" s="71">
        <v>3.2</v>
      </c>
      <c r="J310" s="71">
        <v>68454.93</v>
      </c>
      <c r="K310" s="71">
        <v>401582.58</v>
      </c>
      <c r="L310" s="71">
        <v>24362.98</v>
      </c>
      <c r="M310" s="71">
        <v>1462</v>
      </c>
      <c r="N310" s="71">
        <v>89.3</v>
      </c>
      <c r="O310" s="71">
        <v>0</v>
      </c>
      <c r="P310" s="71">
        <v>0</v>
      </c>
      <c r="Q310" s="71">
        <v>0</v>
      </c>
      <c r="R310" s="71">
        <v>0</v>
      </c>
      <c r="S310" s="71">
        <v>0</v>
      </c>
      <c r="T310" s="71">
        <v>1</v>
      </c>
      <c r="U310">
        <v>734430.772579422</v>
      </c>
      <c r="V310">
        <v>225961.841526527</v>
      </c>
    </row>
    <row r="311" customFormat="1" spans="1:22">
      <c r="A311" s="71" t="s">
        <v>99</v>
      </c>
      <c r="B311" s="177">
        <v>45658</v>
      </c>
      <c r="C311" s="71" t="s">
        <v>22</v>
      </c>
      <c r="D311" s="71" t="s">
        <v>30</v>
      </c>
      <c r="E311" s="71">
        <v>0.141</v>
      </c>
      <c r="F311" s="71">
        <v>22</v>
      </c>
      <c r="G311" s="71">
        <v>5.07</v>
      </c>
      <c r="H311" s="71">
        <v>1</v>
      </c>
      <c r="I311" s="71">
        <v>4.1</v>
      </c>
      <c r="J311" s="71">
        <v>133577.98</v>
      </c>
      <c r="K311" s="71">
        <v>703812.99</v>
      </c>
      <c r="L311" s="71">
        <v>40647.67</v>
      </c>
      <c r="M311" s="71">
        <v>8252</v>
      </c>
      <c r="N311" s="71">
        <v>88.2</v>
      </c>
      <c r="O311" s="71">
        <v>0</v>
      </c>
      <c r="P311" s="71">
        <v>0</v>
      </c>
      <c r="Q311" s="71">
        <v>0</v>
      </c>
      <c r="R311" s="71">
        <v>0</v>
      </c>
      <c r="S311" s="71">
        <v>0</v>
      </c>
      <c r="T311" s="71">
        <v>1</v>
      </c>
      <c r="U311">
        <v>730932.172958159</v>
      </c>
      <c r="V311">
        <v>7020.13681756856</v>
      </c>
    </row>
    <row r="312" customFormat="1" spans="1:22">
      <c r="A312" s="71" t="s">
        <v>99</v>
      </c>
      <c r="B312" s="177">
        <v>45689</v>
      </c>
      <c r="C312" s="71" t="s">
        <v>22</v>
      </c>
      <c r="D312" s="71" t="s">
        <v>30</v>
      </c>
      <c r="E312" s="71">
        <v>0.074</v>
      </c>
      <c r="F312" s="71">
        <v>20</v>
      </c>
      <c r="G312" s="71">
        <v>3.6</v>
      </c>
      <c r="H312" s="71">
        <v>0</v>
      </c>
      <c r="I312" s="71">
        <v>3.7</v>
      </c>
      <c r="J312" s="71">
        <v>155013.91</v>
      </c>
      <c r="K312" s="71">
        <v>724346.73</v>
      </c>
      <c r="L312" s="71">
        <v>63986.98</v>
      </c>
      <c r="M312" s="71">
        <v>7989</v>
      </c>
      <c r="N312" s="71">
        <v>83.3</v>
      </c>
      <c r="O312" s="71">
        <v>0</v>
      </c>
      <c r="P312" s="71">
        <v>0</v>
      </c>
      <c r="Q312" s="71">
        <v>1</v>
      </c>
      <c r="R312" s="71">
        <v>1</v>
      </c>
      <c r="S312" s="71">
        <v>0</v>
      </c>
      <c r="T312" s="71">
        <v>0</v>
      </c>
      <c r="U312">
        <v>587943.313952886</v>
      </c>
      <c r="V312">
        <v>43781.7418990045</v>
      </c>
    </row>
    <row r="313" customFormat="1" spans="1:22">
      <c r="A313" s="71" t="s">
        <v>99</v>
      </c>
      <c r="B313" s="177">
        <v>45717</v>
      </c>
      <c r="C313" s="71" t="s">
        <v>22</v>
      </c>
      <c r="D313" s="71" t="s">
        <v>30</v>
      </c>
      <c r="E313" s="71">
        <v>0.138</v>
      </c>
      <c r="F313" s="71">
        <v>19</v>
      </c>
      <c r="G313" s="71">
        <v>4.39</v>
      </c>
      <c r="H313" s="71">
        <v>1</v>
      </c>
      <c r="I313" s="71">
        <v>4.7</v>
      </c>
      <c r="J313" s="71">
        <v>105502.56</v>
      </c>
      <c r="K313" s="71">
        <v>730890.01</v>
      </c>
      <c r="L313" s="71">
        <v>52843.75</v>
      </c>
      <c r="M313" s="71">
        <v>8268</v>
      </c>
      <c r="N313" s="71">
        <v>87.3</v>
      </c>
      <c r="O313" s="71">
        <v>0</v>
      </c>
      <c r="P313" s="71">
        <v>0</v>
      </c>
      <c r="Q313" s="71">
        <v>1</v>
      </c>
      <c r="R313" s="71">
        <v>1</v>
      </c>
      <c r="S313" s="71">
        <v>0</v>
      </c>
      <c r="T313" s="71">
        <v>0</v>
      </c>
      <c r="U313">
        <v>511865.22755913</v>
      </c>
      <c r="V313">
        <v>-120562.684339322</v>
      </c>
    </row>
    <row r="314" customFormat="1" spans="1:22">
      <c r="A314" s="71" t="s">
        <v>99</v>
      </c>
      <c r="B314" s="177">
        <v>45748</v>
      </c>
      <c r="C314" s="71" t="s">
        <v>22</v>
      </c>
      <c r="D314" s="71" t="s">
        <v>30</v>
      </c>
      <c r="E314" s="71">
        <v>0.198</v>
      </c>
      <c r="F314" s="71">
        <v>18</v>
      </c>
      <c r="G314" s="71">
        <v>2.79</v>
      </c>
      <c r="H314" s="71">
        <v>0</v>
      </c>
      <c r="I314" s="71">
        <v>4.2</v>
      </c>
      <c r="J314" s="71">
        <v>138144.46</v>
      </c>
      <c r="K314" s="71">
        <v>780580.95</v>
      </c>
      <c r="L314" s="71">
        <v>31997.25</v>
      </c>
      <c r="M314" s="71">
        <v>8183</v>
      </c>
      <c r="N314" s="71">
        <v>93</v>
      </c>
      <c r="O314" s="71">
        <v>0</v>
      </c>
      <c r="P314" s="71">
        <v>0</v>
      </c>
      <c r="Q314" s="71">
        <v>1</v>
      </c>
      <c r="R314" s="71">
        <v>1</v>
      </c>
      <c r="S314" s="71">
        <v>0</v>
      </c>
      <c r="T314" s="71">
        <v>0</v>
      </c>
      <c r="U314">
        <v>485593.807110372</v>
      </c>
      <c r="V314">
        <v>-132252.608638039</v>
      </c>
    </row>
    <row r="315" customFormat="1" spans="1:22">
      <c r="A315" s="71" t="s">
        <v>100</v>
      </c>
      <c r="B315" s="177">
        <v>45658</v>
      </c>
      <c r="C315" s="71" t="s">
        <v>26</v>
      </c>
      <c r="D315" s="71" t="s">
        <v>18</v>
      </c>
      <c r="E315" s="71">
        <v>0.183</v>
      </c>
      <c r="F315" s="71">
        <v>14</v>
      </c>
      <c r="G315" s="71">
        <v>1.56</v>
      </c>
      <c r="H315" s="71">
        <v>0</v>
      </c>
      <c r="I315" s="71">
        <v>4</v>
      </c>
      <c r="J315" s="71">
        <v>74805.23</v>
      </c>
      <c r="K315" s="71">
        <v>727957.48</v>
      </c>
      <c r="L315" s="71">
        <v>54948.02</v>
      </c>
      <c r="M315" s="71">
        <v>6534</v>
      </c>
      <c r="N315" s="71">
        <v>94.5</v>
      </c>
      <c r="O315" s="71">
        <v>0</v>
      </c>
      <c r="P315" s="71">
        <v>0</v>
      </c>
      <c r="Q315" s="71">
        <v>1</v>
      </c>
      <c r="R315" s="71">
        <v>1</v>
      </c>
      <c r="S315" s="71">
        <v>0</v>
      </c>
      <c r="T315" s="71">
        <v>0</v>
      </c>
      <c r="U315">
        <v>452464.849892937</v>
      </c>
      <c r="V315">
        <v>-114440.803521801</v>
      </c>
    </row>
    <row r="316" customFormat="1" spans="1:22">
      <c r="A316" s="71" t="s">
        <v>100</v>
      </c>
      <c r="B316" s="177">
        <v>45689</v>
      </c>
      <c r="C316" s="71" t="s">
        <v>26</v>
      </c>
      <c r="D316" s="71" t="s">
        <v>18</v>
      </c>
      <c r="E316" s="71">
        <v>0.047</v>
      </c>
      <c r="F316" s="71">
        <v>16</v>
      </c>
      <c r="G316" s="71">
        <v>15.82</v>
      </c>
      <c r="H316" s="71">
        <v>0</v>
      </c>
      <c r="I316" s="71">
        <v>3.8</v>
      </c>
      <c r="J316" s="71">
        <v>87605.62</v>
      </c>
      <c r="K316" s="71">
        <v>538376</v>
      </c>
      <c r="L316" s="71">
        <v>46146.24</v>
      </c>
      <c r="M316" s="71">
        <v>5804</v>
      </c>
      <c r="N316" s="71">
        <v>86.9</v>
      </c>
      <c r="O316" s="71">
        <v>0</v>
      </c>
      <c r="P316" s="71">
        <v>0</v>
      </c>
      <c r="Q316" s="71">
        <v>1</v>
      </c>
      <c r="R316" s="71">
        <v>1</v>
      </c>
      <c r="S316" s="71">
        <v>0</v>
      </c>
      <c r="T316" s="71">
        <v>0</v>
      </c>
      <c r="U316">
        <v>663106.43953734</v>
      </c>
      <c r="V316">
        <v>114174.758644011</v>
      </c>
    </row>
    <row r="317" customFormat="1" spans="1:22">
      <c r="A317" s="71" t="s">
        <v>100</v>
      </c>
      <c r="B317" s="177">
        <v>45717</v>
      </c>
      <c r="C317" s="71" t="s">
        <v>26</v>
      </c>
      <c r="D317" s="71" t="s">
        <v>18</v>
      </c>
      <c r="E317" s="71">
        <v>0.146</v>
      </c>
      <c r="F317" s="71">
        <v>14</v>
      </c>
      <c r="G317" s="71">
        <v>1.17</v>
      </c>
      <c r="H317" s="71">
        <v>1</v>
      </c>
      <c r="I317" s="71">
        <v>3.7</v>
      </c>
      <c r="J317" s="71">
        <v>93441.81</v>
      </c>
      <c r="K317" s="71">
        <v>665342.49</v>
      </c>
      <c r="L317" s="71">
        <v>22387.26</v>
      </c>
      <c r="M317" s="71">
        <v>6301</v>
      </c>
      <c r="N317" s="71">
        <v>85.9</v>
      </c>
      <c r="O317" s="71">
        <v>0</v>
      </c>
      <c r="P317" s="71">
        <v>0</v>
      </c>
      <c r="Q317" s="71">
        <v>1</v>
      </c>
      <c r="R317" s="71">
        <v>1</v>
      </c>
      <c r="S317" s="71">
        <v>0</v>
      </c>
      <c r="T317" s="71">
        <v>0</v>
      </c>
      <c r="U317">
        <v>653443.659497907</v>
      </c>
      <c r="V317">
        <v>53803.4609514184</v>
      </c>
    </row>
    <row r="318" customFormat="1" spans="1:22">
      <c r="A318" s="71" t="s">
        <v>100</v>
      </c>
      <c r="B318" s="177">
        <v>45748</v>
      </c>
      <c r="C318" s="71" t="s">
        <v>26</v>
      </c>
      <c r="D318" s="71" t="s">
        <v>18</v>
      </c>
      <c r="E318" s="71">
        <v>0.075</v>
      </c>
      <c r="F318" s="71">
        <v>16</v>
      </c>
      <c r="G318" s="71">
        <v>3.82</v>
      </c>
      <c r="H318" s="71">
        <v>0</v>
      </c>
      <c r="I318" s="71">
        <v>3.5</v>
      </c>
      <c r="J318" s="71">
        <v>109466.5</v>
      </c>
      <c r="K318" s="71">
        <v>651164.18</v>
      </c>
      <c r="L318" s="71">
        <v>60684.05</v>
      </c>
      <c r="M318" s="71">
        <v>6399</v>
      </c>
      <c r="N318" s="71">
        <v>99</v>
      </c>
      <c r="O318" s="71">
        <v>0</v>
      </c>
      <c r="P318" s="71">
        <v>0</v>
      </c>
      <c r="Q318" s="71">
        <v>1</v>
      </c>
      <c r="R318" s="71">
        <v>1</v>
      </c>
      <c r="S318" s="71">
        <v>0</v>
      </c>
      <c r="T318" s="71">
        <v>0</v>
      </c>
      <c r="U318">
        <v>595033.642483058</v>
      </c>
      <c r="V318">
        <v>-149920.392472523</v>
      </c>
    </row>
    <row r="319" customFormat="1" spans="1:22">
      <c r="A319" s="71" t="s">
        <v>101</v>
      </c>
      <c r="B319" s="177">
        <v>45658</v>
      </c>
      <c r="C319" s="71" t="s">
        <v>26</v>
      </c>
      <c r="D319" s="71" t="s">
        <v>20</v>
      </c>
      <c r="E319" s="71">
        <v>0.154</v>
      </c>
      <c r="F319" s="71">
        <v>13</v>
      </c>
      <c r="G319" s="71">
        <v>4.14</v>
      </c>
      <c r="H319" s="71">
        <v>0</v>
      </c>
      <c r="I319" s="71">
        <v>4</v>
      </c>
      <c r="J319" s="71">
        <v>112509.15</v>
      </c>
      <c r="K319" s="71">
        <v>628538.3</v>
      </c>
      <c r="L319" s="71">
        <v>48465.6</v>
      </c>
      <c r="M319" s="71">
        <v>5759</v>
      </c>
      <c r="N319" s="71">
        <v>87.5</v>
      </c>
      <c r="O319" s="71">
        <v>0</v>
      </c>
      <c r="P319" s="71">
        <v>0</v>
      </c>
      <c r="Q319" s="71">
        <v>1</v>
      </c>
      <c r="R319" s="71">
        <v>1</v>
      </c>
      <c r="S319" s="71">
        <v>0</v>
      </c>
      <c r="T319" s="71">
        <v>0</v>
      </c>
      <c r="U319">
        <v>445664.144696586</v>
      </c>
      <c r="V319">
        <v>-332848.192579422</v>
      </c>
    </row>
    <row r="320" customFormat="1" spans="1:22">
      <c r="A320" s="71" t="s">
        <v>101</v>
      </c>
      <c r="B320" s="177">
        <v>45689</v>
      </c>
      <c r="C320" s="71" t="s">
        <v>26</v>
      </c>
      <c r="D320" s="71" t="s">
        <v>20</v>
      </c>
      <c r="E320" s="71">
        <v>0.167</v>
      </c>
      <c r="F320" s="71">
        <v>14</v>
      </c>
      <c r="G320" s="71">
        <v>1.1</v>
      </c>
      <c r="H320" s="71">
        <v>0</v>
      </c>
      <c r="I320" s="71">
        <v>4.3</v>
      </c>
      <c r="J320" s="71">
        <v>92752.94</v>
      </c>
      <c r="K320" s="71">
        <v>536524.84</v>
      </c>
      <c r="L320" s="71">
        <v>23702.38</v>
      </c>
      <c r="M320" s="71">
        <v>5285</v>
      </c>
      <c r="N320" s="71">
        <v>79.7</v>
      </c>
      <c r="O320" s="71">
        <v>1</v>
      </c>
      <c r="P320" s="71">
        <v>0</v>
      </c>
      <c r="Q320" s="71">
        <v>0</v>
      </c>
      <c r="R320" s="71">
        <v>0</v>
      </c>
      <c r="S320" s="71">
        <v>1</v>
      </c>
      <c r="T320" s="71">
        <v>0</v>
      </c>
      <c r="U320">
        <v>691666.917754795</v>
      </c>
      <c r="V320">
        <v>-27119.1829581591</v>
      </c>
    </row>
    <row r="321" customFormat="1" spans="1:22">
      <c r="A321" s="71" t="s">
        <v>101</v>
      </c>
      <c r="B321" s="177">
        <v>45717</v>
      </c>
      <c r="C321" s="71" t="s">
        <v>26</v>
      </c>
      <c r="D321" s="71" t="s">
        <v>20</v>
      </c>
      <c r="E321" s="71">
        <v>0.2</v>
      </c>
      <c r="F321" s="71">
        <v>13</v>
      </c>
      <c r="G321" s="71">
        <v>10.6</v>
      </c>
      <c r="H321" s="71">
        <v>0</v>
      </c>
      <c r="I321" s="71">
        <v>4.2</v>
      </c>
      <c r="J321" s="71">
        <v>105192.52</v>
      </c>
      <c r="K321" s="71">
        <v>621677.3</v>
      </c>
      <c r="L321" s="71">
        <v>54322.94</v>
      </c>
      <c r="M321" s="71">
        <v>5434</v>
      </c>
      <c r="N321" s="71">
        <v>85.7</v>
      </c>
      <c r="O321" s="71">
        <v>1</v>
      </c>
      <c r="P321" s="71">
        <v>0</v>
      </c>
      <c r="Q321" s="71">
        <v>0</v>
      </c>
      <c r="R321" s="71">
        <v>0</v>
      </c>
      <c r="S321" s="71">
        <v>1</v>
      </c>
      <c r="T321" s="71">
        <v>0</v>
      </c>
      <c r="U321">
        <v>731498.316998886</v>
      </c>
      <c r="V321">
        <v>136403.416047114</v>
      </c>
    </row>
    <row r="322" customFormat="1" spans="1:22">
      <c r="A322" s="71" t="s">
        <v>101</v>
      </c>
      <c r="B322" s="177">
        <v>45748</v>
      </c>
      <c r="C322" s="71" t="s">
        <v>26</v>
      </c>
      <c r="D322" s="71" t="s">
        <v>20</v>
      </c>
      <c r="E322" s="71">
        <v>0.142</v>
      </c>
      <c r="F322" s="71">
        <v>20</v>
      </c>
      <c r="G322" s="71">
        <v>0.9</v>
      </c>
      <c r="H322" s="71">
        <v>0</v>
      </c>
      <c r="I322" s="71">
        <v>3.95</v>
      </c>
      <c r="J322" s="71">
        <v>116851.13</v>
      </c>
      <c r="K322" s="71">
        <v>771129.07</v>
      </c>
      <c r="L322" s="71">
        <v>86026.58</v>
      </c>
      <c r="M322" s="71">
        <v>7479</v>
      </c>
      <c r="N322" s="71">
        <v>89</v>
      </c>
      <c r="O322" s="71">
        <v>1</v>
      </c>
      <c r="P322" s="71">
        <v>0</v>
      </c>
      <c r="Q322" s="71">
        <v>0</v>
      </c>
      <c r="R322" s="71">
        <v>0</v>
      </c>
      <c r="S322" s="71">
        <v>1</v>
      </c>
      <c r="T322" s="71">
        <v>0</v>
      </c>
      <c r="U322">
        <v>739548.141378251</v>
      </c>
      <c r="V322">
        <v>219024.78244087</v>
      </c>
    </row>
    <row r="323" customFormat="1" spans="1:22">
      <c r="A323" s="71" t="s">
        <v>102</v>
      </c>
      <c r="B323" s="177">
        <v>45658</v>
      </c>
      <c r="C323" s="71" t="s">
        <v>22</v>
      </c>
      <c r="D323" s="71" t="s">
        <v>18</v>
      </c>
      <c r="E323" s="71">
        <v>0.021</v>
      </c>
      <c r="F323" s="71">
        <v>16</v>
      </c>
      <c r="G323" s="71">
        <v>0.2</v>
      </c>
      <c r="H323" s="71">
        <v>0</v>
      </c>
      <c r="I323" s="71">
        <v>3.4</v>
      </c>
      <c r="J323" s="71">
        <v>121732.51</v>
      </c>
      <c r="K323" s="71">
        <v>702052.47</v>
      </c>
      <c r="L323" s="71">
        <v>78967.52</v>
      </c>
      <c r="M323" s="71">
        <v>6164</v>
      </c>
      <c r="N323" s="71">
        <v>85.5</v>
      </c>
      <c r="O323" s="71">
        <v>1</v>
      </c>
      <c r="P323" s="71">
        <v>0</v>
      </c>
      <c r="Q323" s="71">
        <v>0</v>
      </c>
      <c r="R323" s="71">
        <v>0</v>
      </c>
      <c r="S323" s="71">
        <v>1</v>
      </c>
      <c r="T323" s="71">
        <v>0</v>
      </c>
      <c r="U323">
        <v>728776.195851644</v>
      </c>
      <c r="V323">
        <v>294987.142889628</v>
      </c>
    </row>
    <row r="324" customFormat="1" spans="1:22">
      <c r="A324" s="71" t="s">
        <v>102</v>
      </c>
      <c r="B324" s="177">
        <v>45689</v>
      </c>
      <c r="C324" s="71" t="s">
        <v>22</v>
      </c>
      <c r="D324" s="71" t="s">
        <v>18</v>
      </c>
      <c r="E324" s="71">
        <v>0.183</v>
      </c>
      <c r="F324" s="71">
        <v>18</v>
      </c>
      <c r="G324" s="71">
        <v>4.67</v>
      </c>
      <c r="H324" s="71">
        <v>0</v>
      </c>
      <c r="I324" s="71">
        <v>3.95</v>
      </c>
      <c r="J324" s="71">
        <v>93588.42</v>
      </c>
      <c r="K324" s="71">
        <v>688368.46</v>
      </c>
      <c r="L324" s="71">
        <v>46767.99</v>
      </c>
      <c r="M324" s="71">
        <v>7973</v>
      </c>
      <c r="N324" s="71">
        <v>94.8</v>
      </c>
      <c r="O324" s="71">
        <v>0</v>
      </c>
      <c r="P324" s="71">
        <v>1</v>
      </c>
      <c r="Q324" s="71">
        <v>0</v>
      </c>
      <c r="R324" s="71">
        <v>0</v>
      </c>
      <c r="S324" s="71">
        <v>0</v>
      </c>
      <c r="T324" s="71">
        <v>1</v>
      </c>
      <c r="U324">
        <v>704657.000385459</v>
      </c>
      <c r="V324">
        <v>275492.630107063</v>
      </c>
    </row>
    <row r="325" customFormat="1" spans="1:22">
      <c r="A325" s="71" t="s">
        <v>102</v>
      </c>
      <c r="B325" s="177">
        <v>45717</v>
      </c>
      <c r="C325" s="71" t="s">
        <v>22</v>
      </c>
      <c r="D325" s="71" t="s">
        <v>18</v>
      </c>
      <c r="E325" s="71">
        <v>0.091</v>
      </c>
      <c r="F325" s="71">
        <v>14</v>
      </c>
      <c r="G325" s="71">
        <v>4.38</v>
      </c>
      <c r="H325" s="71">
        <v>1</v>
      </c>
      <c r="I325" s="71">
        <v>3.9</v>
      </c>
      <c r="J325" s="71">
        <v>104171.53</v>
      </c>
      <c r="K325" s="71">
        <v>712375.77</v>
      </c>
      <c r="L325" s="71">
        <v>62507.16</v>
      </c>
      <c r="M325" s="71">
        <v>6000</v>
      </c>
      <c r="N325" s="71">
        <v>98.2</v>
      </c>
      <c r="O325" s="71">
        <v>0</v>
      </c>
      <c r="P325" s="71">
        <v>1</v>
      </c>
      <c r="Q325" s="71">
        <v>0</v>
      </c>
      <c r="R325" s="71">
        <v>0</v>
      </c>
      <c r="S325" s="71">
        <v>0</v>
      </c>
      <c r="T325" s="71">
        <v>1</v>
      </c>
      <c r="U325">
        <v>646974.014748499</v>
      </c>
      <c r="V325">
        <v>-124730.43953734</v>
      </c>
    </row>
    <row r="326" customFormat="1" spans="1:22">
      <c r="A326" s="71" t="s">
        <v>102</v>
      </c>
      <c r="B326" s="177">
        <v>45748</v>
      </c>
      <c r="C326" s="71" t="s">
        <v>22</v>
      </c>
      <c r="D326" s="71" t="s">
        <v>18</v>
      </c>
      <c r="E326" s="71">
        <v>0.108</v>
      </c>
      <c r="F326" s="71">
        <v>20</v>
      </c>
      <c r="G326" s="71">
        <v>4.48</v>
      </c>
      <c r="H326" s="71">
        <v>0</v>
      </c>
      <c r="I326" s="71">
        <v>4.2</v>
      </c>
      <c r="J326" s="71">
        <v>137140.18</v>
      </c>
      <c r="K326" s="71">
        <v>844710.67</v>
      </c>
      <c r="L326" s="71">
        <v>66456.28</v>
      </c>
      <c r="M326" s="71">
        <v>9967</v>
      </c>
      <c r="N326" s="71">
        <v>94.7</v>
      </c>
      <c r="O326" s="71">
        <v>0</v>
      </c>
      <c r="P326" s="71">
        <v>1</v>
      </c>
      <c r="Q326" s="71">
        <v>0</v>
      </c>
      <c r="R326" s="71">
        <v>0</v>
      </c>
      <c r="S326" s="71">
        <v>0</v>
      </c>
      <c r="T326" s="71">
        <v>1</v>
      </c>
      <c r="U326">
        <v>632606.898247993</v>
      </c>
      <c r="V326">
        <v>11898.8305020925</v>
      </c>
    </row>
    <row r="327" customFormat="1" spans="1:22">
      <c r="A327" s="71" t="s">
        <v>103</v>
      </c>
      <c r="B327" s="177">
        <v>45658</v>
      </c>
      <c r="C327" s="71" t="s">
        <v>17</v>
      </c>
      <c r="D327" s="71" t="s">
        <v>18</v>
      </c>
      <c r="E327" s="71">
        <v>0.174</v>
      </c>
      <c r="F327" s="71">
        <v>15</v>
      </c>
      <c r="G327" s="71">
        <v>1.02</v>
      </c>
      <c r="H327" s="71">
        <v>1</v>
      </c>
      <c r="I327" s="71">
        <v>4</v>
      </c>
      <c r="J327" s="71">
        <v>91365.64</v>
      </c>
      <c r="K327" s="71">
        <v>620264.2</v>
      </c>
      <c r="L327" s="71">
        <v>76614.32</v>
      </c>
      <c r="M327" s="71">
        <v>5639</v>
      </c>
      <c r="N327" s="71">
        <v>92.9</v>
      </c>
      <c r="O327" s="71">
        <v>0</v>
      </c>
      <c r="P327" s="71">
        <v>1</v>
      </c>
      <c r="Q327" s="71">
        <v>0</v>
      </c>
      <c r="R327" s="71">
        <v>0</v>
      </c>
      <c r="S327" s="71">
        <v>0</v>
      </c>
      <c r="T327" s="71">
        <v>1</v>
      </c>
      <c r="U327">
        <v>720228.100426178</v>
      </c>
      <c r="V327">
        <v>56130.5375169417</v>
      </c>
    </row>
    <row r="328" customFormat="1" spans="1:22">
      <c r="A328" s="71" t="s">
        <v>103</v>
      </c>
      <c r="B328" s="177">
        <v>45689</v>
      </c>
      <c r="C328" s="71" t="s">
        <v>17</v>
      </c>
      <c r="D328" s="71" t="s">
        <v>18</v>
      </c>
      <c r="E328" s="71">
        <v>0</v>
      </c>
      <c r="F328" s="71">
        <v>11</v>
      </c>
      <c r="G328" s="71">
        <v>0.2</v>
      </c>
      <c r="H328" s="71">
        <v>0</v>
      </c>
      <c r="I328" s="71">
        <v>3.8</v>
      </c>
      <c r="J328" s="71">
        <v>107473.75</v>
      </c>
      <c r="K328" s="71">
        <v>536845.42</v>
      </c>
      <c r="L328" s="71">
        <v>24088.06</v>
      </c>
      <c r="M328" s="71">
        <v>3466</v>
      </c>
      <c r="N328" s="71">
        <v>88</v>
      </c>
      <c r="O328" s="71">
        <v>0</v>
      </c>
      <c r="P328" s="71">
        <v>1</v>
      </c>
      <c r="Q328" s="71">
        <v>0</v>
      </c>
      <c r="R328" s="71">
        <v>1</v>
      </c>
      <c r="S328" s="71">
        <v>0</v>
      </c>
      <c r="T328" s="71">
        <v>0</v>
      </c>
      <c r="U328">
        <v>649983.315460308</v>
      </c>
      <c r="V328">
        <v>182874.155303414</v>
      </c>
    </row>
    <row r="329" customFormat="1" spans="1:22">
      <c r="A329" s="71" t="s">
        <v>103</v>
      </c>
      <c r="B329" s="177">
        <v>45717</v>
      </c>
      <c r="C329" s="71" t="s">
        <v>17</v>
      </c>
      <c r="D329" s="71" t="s">
        <v>18</v>
      </c>
      <c r="E329" s="71">
        <v>0.215</v>
      </c>
      <c r="F329" s="71">
        <v>20</v>
      </c>
      <c r="G329" s="71">
        <v>4.89</v>
      </c>
      <c r="H329" s="71">
        <v>1</v>
      </c>
      <c r="I329" s="71">
        <v>4.2</v>
      </c>
      <c r="J329" s="71">
        <v>90804.49</v>
      </c>
      <c r="K329" s="71">
        <v>726776.22</v>
      </c>
      <c r="L329" s="71">
        <v>81902.58</v>
      </c>
      <c r="M329" s="71">
        <v>7775</v>
      </c>
      <c r="N329" s="71">
        <v>85.2</v>
      </c>
      <c r="O329" s="71">
        <v>0</v>
      </c>
      <c r="P329" s="71">
        <v>1</v>
      </c>
      <c r="Q329" s="71">
        <v>0</v>
      </c>
      <c r="R329" s="71">
        <v>1</v>
      </c>
      <c r="S329" s="71">
        <v>0</v>
      </c>
      <c r="T329" s="71">
        <v>0</v>
      </c>
      <c r="U329">
        <v>583127.384445533</v>
      </c>
      <c r="V329">
        <v>-155142.077754795</v>
      </c>
    </row>
    <row r="330" customFormat="1" spans="1:22">
      <c r="A330" s="71" t="s">
        <v>103</v>
      </c>
      <c r="B330" s="177">
        <v>45748</v>
      </c>
      <c r="C330" s="71" t="s">
        <v>17</v>
      </c>
      <c r="D330" s="71" t="s">
        <v>18</v>
      </c>
      <c r="E330" s="71">
        <v>0.165</v>
      </c>
      <c r="F330" s="71">
        <v>17</v>
      </c>
      <c r="G330" s="71">
        <v>11.82</v>
      </c>
      <c r="H330" s="71">
        <v>0</v>
      </c>
      <c r="I330" s="71">
        <v>4.1</v>
      </c>
      <c r="J330" s="71">
        <v>71443.61</v>
      </c>
      <c r="K330" s="71">
        <v>559660.84</v>
      </c>
      <c r="L330" s="71">
        <v>40553.11</v>
      </c>
      <c r="M330" s="71">
        <v>5317</v>
      </c>
      <c r="N330" s="71">
        <v>84.3</v>
      </c>
      <c r="O330" s="71">
        <v>0</v>
      </c>
      <c r="P330" s="71">
        <v>1</v>
      </c>
      <c r="Q330" s="71">
        <v>0</v>
      </c>
      <c r="R330" s="71">
        <v>1</v>
      </c>
      <c r="S330" s="71">
        <v>0</v>
      </c>
      <c r="T330" s="71">
        <v>0</v>
      </c>
      <c r="U330">
        <v>642328.306512148</v>
      </c>
      <c r="V330">
        <v>-109821.016998886</v>
      </c>
    </row>
    <row r="345" ht="14.55" customHeight="1"/>
    <row r="354" customFormat="1" ht="14.55" spans="24:24">
      <c r="X354" s="178"/>
    </row>
  </sheetData>
  <mergeCells count="2">
    <mergeCell ref="A1:AD1"/>
    <mergeCell ref="A2:AD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zoomScale="80" zoomScaleNormal="80" workbookViewId="0">
      <selection activeCell="E10" sqref="E10"/>
    </sheetView>
  </sheetViews>
  <sheetFormatPr defaultColWidth="8.75" defaultRowHeight="13.8"/>
  <cols>
    <col min="1" max="1" width="28.4" style="71" customWidth="1"/>
    <col min="2" max="2" width="13" style="71" customWidth="1"/>
    <col min="3" max="3" width="41.5" style="71" customWidth="1"/>
    <col min="4" max="4" width="14.4" style="71" customWidth="1"/>
    <col min="5" max="5" width="12.0833333333333" style="71" customWidth="1"/>
    <col min="6" max="6" width="17.0833333333333" style="71" customWidth="1"/>
    <col min="7" max="7" width="10.8333333333333" style="71" customWidth="1"/>
    <col min="8" max="8" width="18.6666666666667" style="71" customWidth="1"/>
    <col min="9" max="9" width="32.6" style="130" customWidth="1"/>
    <col min="10" max="10" width="34.3" style="130" customWidth="1"/>
    <col min="11" max="16384" width="8.75" style="71" customWidth="1"/>
  </cols>
  <sheetData>
    <row r="1" s="71" customFormat="1" ht="25" customHeight="1" spans="1:12">
      <c r="A1" s="131" t="s">
        <v>0</v>
      </c>
      <c r="B1" s="131"/>
      <c r="C1" s="131"/>
      <c r="D1" s="131"/>
      <c r="E1" s="131"/>
      <c r="F1" s="131"/>
      <c r="G1" s="131"/>
      <c r="H1" s="131"/>
      <c r="I1" s="130"/>
      <c r="J1" s="130"/>
    </row>
    <row r="2" s="71" customFormat="1" ht="19" customHeight="1" spans="1:12">
      <c r="A2" s="132" t="s">
        <v>132</v>
      </c>
      <c r="B2" s="133"/>
      <c r="C2" s="133"/>
      <c r="D2" s="133"/>
      <c r="E2" s="133"/>
      <c r="F2" s="133"/>
      <c r="G2" s="133"/>
      <c r="H2" s="133"/>
      <c r="I2" s="130"/>
      <c r="J2" s="130"/>
    </row>
    <row r="4" s="71" customFormat="1" spans="1:12">
      <c r="A4" s="134" t="s">
        <v>133</v>
      </c>
      <c r="B4" s="135">
        <v>0.167</v>
      </c>
      <c r="C4" s="136" t="s">
        <v>134</v>
      </c>
      <c r="D4" s="135">
        <v>2.13</v>
      </c>
      <c r="E4" s="136" t="s">
        <v>135</v>
      </c>
      <c r="F4" s="135" t="s">
        <v>136</v>
      </c>
      <c r="I4" s="130"/>
      <c r="J4" s="130"/>
    </row>
    <row r="6" s="71" customFormat="1" ht="14.55" customHeight="1" spans="1:12">
      <c r="A6" s="134" t="s">
        <v>137</v>
      </c>
      <c r="I6" s="130"/>
      <c r="J6" s="130"/>
    </row>
    <row r="7" s="71" customFormat="1" ht="31" customHeight="1" spans="1:12">
      <c r="A7" s="137" t="s">
        <v>138</v>
      </c>
      <c r="B7" s="127"/>
      <c r="C7" s="138" t="s">
        <v>139</v>
      </c>
      <c r="G7" s="139"/>
      <c r="H7" s="140"/>
      <c r="I7" s="141" t="s">
        <v>140</v>
      </c>
      <c r="J7" s="142" t="s">
        <v>141</v>
      </c>
    </row>
    <row r="8" s="71" customFormat="1" ht="14.55" customHeight="1" spans="1:12">
      <c r="H8" s="143" t="s">
        <v>142</v>
      </c>
      <c r="I8" s="144" t="s">
        <v>143</v>
      </c>
      <c r="J8" s="145" t="s">
        <v>144</v>
      </c>
    </row>
    <row r="9" s="71" customFormat="1" ht="55.95" spans="1:12">
      <c r="A9" s="146" t="s">
        <v>145</v>
      </c>
      <c r="B9" s="147"/>
      <c r="H9" s="148" t="s">
        <v>133</v>
      </c>
      <c r="I9" s="149">
        <v>0.167</v>
      </c>
      <c r="J9" s="150" t="s">
        <v>146</v>
      </c>
    </row>
    <row r="10" s="71" customFormat="1" ht="14.55" customHeight="1" spans="1:12">
      <c r="A10" s="74" t="s">
        <v>147</v>
      </c>
      <c r="B10" s="75">
        <v>0.408955610213224</v>
      </c>
      <c r="H10" s="148" t="s">
        <v>134</v>
      </c>
      <c r="I10" s="149">
        <v>2.13</v>
      </c>
      <c r="J10" s="150" t="s">
        <v>148</v>
      </c>
    </row>
    <row r="11" s="71" customFormat="1" ht="41.4" spans="1:12">
      <c r="A11" s="74" t="s">
        <v>149</v>
      </c>
      <c r="B11" s="75">
        <v>0.16724469112487</v>
      </c>
      <c r="H11" s="151" t="s">
        <v>135</v>
      </c>
      <c r="I11" s="149" t="s">
        <v>150</v>
      </c>
      <c r="J11" s="150" t="s">
        <v>151</v>
      </c>
    </row>
    <row r="12" s="71" customFormat="1" ht="83.55" spans="1:12">
      <c r="A12" s="74" t="s">
        <v>152</v>
      </c>
      <c r="B12" s="75">
        <v>0.16462596373847</v>
      </c>
      <c r="H12" s="152" t="s">
        <v>153</v>
      </c>
      <c r="I12" s="153"/>
      <c r="J12" s="154" t="s">
        <v>154</v>
      </c>
    </row>
    <row r="13" s="71" customFormat="1" spans="1:12">
      <c r="A13" s="74" t="s">
        <v>155</v>
      </c>
      <c r="B13" s="75">
        <v>94846.0338321585</v>
      </c>
      <c r="I13" s="130"/>
      <c r="J13" s="130"/>
    </row>
    <row r="14" s="71" customFormat="1" ht="14.55" customHeight="1" spans="1:12">
      <c r="A14" s="78" t="s">
        <v>156</v>
      </c>
      <c r="B14" s="79">
        <v>320</v>
      </c>
      <c r="I14" s="130"/>
      <c r="J14" s="130"/>
      <c r="K14" s="155"/>
      <c r="L14" s="155"/>
    </row>
    <row r="15" s="71" customFormat="1" ht="14.55" customHeight="1" spans="1:12">
      <c r="I15" s="130"/>
      <c r="J15" s="130"/>
      <c r="K15" s="156"/>
      <c r="L15" s="157"/>
    </row>
    <row r="16" s="71" customFormat="1" ht="14.55" spans="1:12">
      <c r="A16" s="71" t="s">
        <v>157</v>
      </c>
      <c r="I16" s="130"/>
      <c r="J16" s="130"/>
      <c r="K16" s="156"/>
      <c r="L16" s="157"/>
    </row>
    <row r="17" s="71" customFormat="1" ht="14.55" spans="1:12">
      <c r="A17" s="158"/>
      <c r="B17" s="159" t="s">
        <v>158</v>
      </c>
      <c r="C17" s="158" t="s">
        <v>159</v>
      </c>
      <c r="D17" s="159" t="s">
        <v>160</v>
      </c>
      <c r="E17" s="158" t="s">
        <v>161</v>
      </c>
      <c r="F17" s="158" t="s">
        <v>162</v>
      </c>
      <c r="I17" s="130"/>
      <c r="J17" s="130"/>
      <c r="K17" s="156"/>
      <c r="L17" s="157"/>
    </row>
    <row r="18" s="71" customFormat="1" ht="14.55" customHeight="1" spans="1:12">
      <c r="A18" s="75" t="s">
        <v>163</v>
      </c>
      <c r="B18" s="160">
        <v>1</v>
      </c>
      <c r="C18" s="161">
        <v>574513714277.014</v>
      </c>
      <c r="D18" s="160">
        <v>574513714277.014</v>
      </c>
      <c r="E18" s="162">
        <v>63.8648726833676</v>
      </c>
      <c r="F18" s="161">
        <v>2.48006151013596e-14</v>
      </c>
      <c r="I18" s="130"/>
      <c r="J18" s="130"/>
      <c r="K18" s="156"/>
      <c r="L18" s="157"/>
    </row>
    <row r="19" s="71" customFormat="1" ht="14.55" spans="1:12">
      <c r="A19" s="75" t="s">
        <v>164</v>
      </c>
      <c r="B19" s="160">
        <v>318</v>
      </c>
      <c r="C19" s="161">
        <v>2860654902513.73</v>
      </c>
      <c r="D19" s="160">
        <v>8995770133.69096</v>
      </c>
      <c r="E19" s="162"/>
      <c r="F19" s="161"/>
      <c r="I19" s="130"/>
      <c r="J19" s="130"/>
      <c r="K19" s="156"/>
      <c r="L19" s="157"/>
    </row>
    <row r="20" s="71" customFormat="1" ht="14.55" spans="1:12">
      <c r="A20" s="127" t="s">
        <v>165</v>
      </c>
      <c r="B20" s="163">
        <v>319</v>
      </c>
      <c r="C20" s="164">
        <v>3435168616790.74</v>
      </c>
      <c r="D20" s="163"/>
      <c r="E20" s="164"/>
      <c r="F20" s="164"/>
      <c r="I20" s="130"/>
      <c r="J20" s="130"/>
    </row>
    <row r="21" ht="14.55"/>
    <row r="22" s="71" customFormat="1" ht="14.55" spans="1:12">
      <c r="A22" s="165"/>
      <c r="B22" s="158" t="s">
        <v>166</v>
      </c>
      <c r="C22" s="159" t="s">
        <v>155</v>
      </c>
      <c r="D22" s="158" t="s">
        <v>167</v>
      </c>
      <c r="E22" s="159" t="s">
        <v>135</v>
      </c>
      <c r="F22" s="158" t="s">
        <v>168</v>
      </c>
      <c r="G22" s="159" t="s">
        <v>169</v>
      </c>
      <c r="H22" s="158" t="s">
        <v>170</v>
      </c>
      <c r="I22" s="166" t="s">
        <v>171</v>
      </c>
      <c r="J22" s="130"/>
    </row>
    <row r="23" s="71" customFormat="1" spans="1:12">
      <c r="A23" s="74" t="s">
        <v>172</v>
      </c>
      <c r="B23" s="167">
        <v>560777.345449437</v>
      </c>
      <c r="C23" s="168">
        <v>15906.9059530687</v>
      </c>
      <c r="D23" s="167">
        <v>35.2537034608704</v>
      </c>
      <c r="E23" s="168">
        <v>6.95287687628413e-112</v>
      </c>
      <c r="F23" s="167">
        <v>529481.272347632</v>
      </c>
      <c r="G23" s="168">
        <v>592073.418551242</v>
      </c>
      <c r="H23" s="167">
        <v>529481.272347632</v>
      </c>
      <c r="I23" s="169">
        <v>592073.418551242</v>
      </c>
      <c r="J23" s="130"/>
    </row>
    <row r="24" s="71" customFormat="1" ht="14.55" spans="1:12">
      <c r="A24" s="78" t="s">
        <v>6</v>
      </c>
      <c r="B24" s="170">
        <v>2.12957532758983</v>
      </c>
      <c r="C24" s="171">
        <v>0.266478381069323</v>
      </c>
      <c r="D24" s="170">
        <v>7.99155008013887</v>
      </c>
      <c r="E24" s="171">
        <v>2.48006151013601e-14</v>
      </c>
      <c r="F24" s="170">
        <v>1.60529191769217</v>
      </c>
      <c r="G24" s="171">
        <v>2.65385873748748</v>
      </c>
      <c r="H24" s="170">
        <v>1.60529191769217</v>
      </c>
      <c r="I24" s="172">
        <v>2.65385873748748</v>
      </c>
      <c r="J24" s="130"/>
    </row>
  </sheetData>
  <mergeCells count="4">
    <mergeCell ref="A1:H1"/>
    <mergeCell ref="A2:H2"/>
    <mergeCell ref="A3:B3"/>
    <mergeCell ref="A6:H6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tabSelected="1" zoomScale="77" zoomScaleNormal="77" workbookViewId="0">
      <selection activeCell="A1" sqref="A1:M24"/>
    </sheetView>
  </sheetViews>
  <sheetFormatPr defaultColWidth="9" defaultRowHeight="13.8"/>
  <cols>
    <col min="1" max="1" width="20.6" customWidth="1"/>
    <col min="2" max="2" width="21.8" customWidth="1"/>
    <col min="3" max="3" width="33.5" customWidth="1"/>
    <col min="4" max="4" width="10.6666666666667" customWidth="1"/>
    <col min="5" max="5" width="8.75" customWidth="1"/>
    <col min="6" max="6" width="13.6666666666667" customWidth="1"/>
    <col min="7" max="7" width="9.08333333333333" customWidth="1"/>
    <col min="8" max="8" width="12.4166666666667" customWidth="1"/>
    <col min="9" max="9" width="12.3333333333333" customWidth="1"/>
    <col min="10" max="10" width="18.9166666666667" customWidth="1"/>
    <col min="11" max="11" width="19.4" customWidth="1"/>
    <col min="12" max="12" width="16.1" style="87" customWidth="1"/>
    <col min="13" max="13" width="34.1" style="87" customWidth="1"/>
    <col min="14" max="16384" width="8.66666666666667" customWidth="1"/>
  </cols>
  <sheetData>
    <row r="1" customFormat="1" ht="27" customHeight="1" spans="1:13">
      <c r="A1" s="88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90"/>
      <c r="M1" s="91"/>
    </row>
    <row r="2" customFormat="1" ht="14.55" customHeight="1" spans="1:13">
      <c r="A2" s="92" t="s">
        <v>173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4"/>
      <c r="M2" s="95"/>
    </row>
    <row r="3" ht="14.55"/>
    <row r="4" customFormat="1" spans="1:13">
      <c r="A4" s="96" t="s">
        <v>133</v>
      </c>
      <c r="B4" s="97">
        <v>0.736</v>
      </c>
      <c r="L4" s="87"/>
      <c r="M4" s="87"/>
    </row>
    <row r="5" customFormat="1" spans="1:13">
      <c r="A5" s="98" t="s">
        <v>134</v>
      </c>
      <c r="B5" s="99">
        <v>35.68</v>
      </c>
      <c r="L5" s="87"/>
      <c r="M5" s="87"/>
    </row>
    <row r="6" customFormat="1" ht="14.55" customHeight="1" spans="1:13">
      <c r="A6" s="98" t="s">
        <v>135</v>
      </c>
      <c r="B6" s="99" t="s">
        <v>136</v>
      </c>
      <c r="L6" s="87"/>
      <c r="M6" s="87"/>
    </row>
    <row r="7" customFormat="1" ht="28.35" spans="1:13">
      <c r="A7" s="100" t="s">
        <v>138</v>
      </c>
      <c r="B7" s="101"/>
      <c r="C7" s="102" t="s">
        <v>173</v>
      </c>
      <c r="G7" s="103"/>
      <c r="K7" s="104"/>
      <c r="L7" s="105" t="s">
        <v>140</v>
      </c>
      <c r="M7" s="106" t="s">
        <v>141</v>
      </c>
    </row>
    <row r="8" customFormat="1" ht="14.55" customHeight="1" spans="1:13">
      <c r="K8" s="107" t="s">
        <v>142</v>
      </c>
      <c r="L8" s="108" t="s">
        <v>174</v>
      </c>
      <c r="M8" s="109"/>
    </row>
    <row r="9" customFormat="1" ht="55.2" spans="1:13">
      <c r="A9" s="110" t="s">
        <v>145</v>
      </c>
      <c r="B9" s="111"/>
      <c r="K9" s="112" t="s">
        <v>133</v>
      </c>
      <c r="L9" s="113">
        <v>0.736</v>
      </c>
      <c r="M9" s="114" t="s">
        <v>175</v>
      </c>
    </row>
    <row r="10" customFormat="1" ht="14.55" customHeight="1" spans="1:13">
      <c r="A10" s="115" t="s">
        <v>147</v>
      </c>
      <c r="B10" s="116">
        <v>0.858070708044105</v>
      </c>
      <c r="K10" s="112" t="s">
        <v>134</v>
      </c>
      <c r="L10" s="113">
        <v>35.68</v>
      </c>
      <c r="M10" s="114" t="s">
        <v>176</v>
      </c>
    </row>
    <row r="11" customFormat="1" ht="27.6" spans="1:13">
      <c r="A11" s="115" t="s">
        <v>149</v>
      </c>
      <c r="B11" s="116">
        <v>0.736285340003311</v>
      </c>
      <c r="K11" s="117" t="s">
        <v>135</v>
      </c>
      <c r="L11" s="113">
        <v>4.75</v>
      </c>
      <c r="M11" s="114" t="s">
        <v>177</v>
      </c>
    </row>
    <row r="12" customFormat="1" ht="42.15" spans="1:13">
      <c r="A12" s="115" t="s">
        <v>152</v>
      </c>
      <c r="B12" s="116">
        <v>0.735456048619674</v>
      </c>
      <c r="K12" s="118" t="s">
        <v>178</v>
      </c>
      <c r="L12" s="119"/>
      <c r="M12" s="120" t="s">
        <v>179</v>
      </c>
    </row>
    <row r="13" customFormat="1" spans="1:13">
      <c r="A13" s="115" t="s">
        <v>155</v>
      </c>
      <c r="B13" s="116">
        <v>53373.7363807905</v>
      </c>
      <c r="L13" s="87"/>
      <c r="M13" s="87"/>
    </row>
    <row r="14" customFormat="1" ht="14.55" customHeight="1" spans="1:13">
      <c r="A14" s="121" t="s">
        <v>156</v>
      </c>
      <c r="B14" s="122">
        <v>320</v>
      </c>
      <c r="L14" s="87"/>
      <c r="M14" s="87"/>
    </row>
    <row r="15" ht="14.55" customHeight="1"/>
    <row r="16" customFormat="1" ht="14.55" spans="1:13">
      <c r="A16" s="71" t="s">
        <v>157</v>
      </c>
      <c r="L16" s="87"/>
      <c r="M16" s="87"/>
    </row>
    <row r="17" customFormat="1" spans="1:13">
      <c r="A17" s="123"/>
      <c r="B17" s="124" t="s">
        <v>158</v>
      </c>
      <c r="C17" s="125" t="s">
        <v>159</v>
      </c>
      <c r="D17" s="124" t="s">
        <v>160</v>
      </c>
      <c r="E17" s="125" t="s">
        <v>161</v>
      </c>
      <c r="F17" s="124" t="s">
        <v>162</v>
      </c>
      <c r="L17" s="87"/>
      <c r="M17" s="87"/>
    </row>
    <row r="18" customFormat="1" ht="14.55" customHeight="1" spans="1:13">
      <c r="A18" s="74" t="s">
        <v>163</v>
      </c>
      <c r="B18" s="75">
        <v>1</v>
      </c>
      <c r="C18" s="71">
        <v>2529264292982.47</v>
      </c>
      <c r="D18" s="75">
        <v>2529264292982.47</v>
      </c>
      <c r="E18" s="71">
        <v>887.84877611276</v>
      </c>
      <c r="F18" s="75">
        <v>4.75036150900533e-94</v>
      </c>
      <c r="L18" s="87"/>
      <c r="M18" s="87"/>
    </row>
    <row r="19" customFormat="1" ht="14.55" spans="1:13">
      <c r="A19" s="74" t="s">
        <v>164</v>
      </c>
      <c r="B19" s="75">
        <v>318</v>
      </c>
      <c r="C19" s="71">
        <v>905904323808.266</v>
      </c>
      <c r="D19" s="75">
        <v>2848755735.24612</v>
      </c>
      <c r="F19" s="75"/>
      <c r="L19" s="87"/>
      <c r="M19" s="87"/>
    </row>
    <row r="20" customFormat="1" ht="14.55" spans="1:13">
      <c r="A20" s="126" t="s">
        <v>165</v>
      </c>
      <c r="B20" s="127">
        <v>319</v>
      </c>
      <c r="C20" s="128">
        <v>3435168616790.74</v>
      </c>
      <c r="D20" s="127"/>
      <c r="E20" s="128"/>
      <c r="F20" s="127"/>
      <c r="L20" s="87"/>
      <c r="M20" s="87"/>
    </row>
    <row r="21" ht="14.55"/>
    <row r="22" customFormat="1" spans="1:13">
      <c r="A22" s="123"/>
      <c r="B22" s="124" t="s">
        <v>166</v>
      </c>
      <c r="C22" s="125" t="s">
        <v>155</v>
      </c>
      <c r="D22" s="124" t="s">
        <v>167</v>
      </c>
      <c r="E22" s="125" t="s">
        <v>135</v>
      </c>
      <c r="F22" s="124" t="s">
        <v>168</v>
      </c>
      <c r="G22" s="125" t="s">
        <v>169</v>
      </c>
      <c r="H22" s="124" t="s">
        <v>170</v>
      </c>
      <c r="I22" s="129" t="s">
        <v>171</v>
      </c>
      <c r="L22" s="87"/>
      <c r="M22" s="87"/>
    </row>
    <row r="23" customFormat="1" spans="1:13">
      <c r="A23" s="74" t="s">
        <v>172</v>
      </c>
      <c r="B23" s="75">
        <v>446410.582933953</v>
      </c>
      <c r="C23" s="71">
        <v>8407.73826300599</v>
      </c>
      <c r="D23" s="75">
        <v>53.0952045567543</v>
      </c>
      <c r="E23" s="71">
        <v>4.08626957115072e-160</v>
      </c>
      <c r="F23" s="75">
        <v>429868.761911298</v>
      </c>
      <c r="G23" s="71">
        <v>462952.403956609</v>
      </c>
      <c r="H23" s="75">
        <v>429868.761911298</v>
      </c>
      <c r="I23" s="83">
        <v>462952.403956609</v>
      </c>
      <c r="L23" s="87"/>
      <c r="M23" s="87"/>
    </row>
    <row r="24" customFormat="1" ht="14.55" spans="1:13">
      <c r="A24" s="78" t="s">
        <v>7</v>
      </c>
      <c r="B24" s="79">
        <v>35.6780310726405</v>
      </c>
      <c r="C24" s="80">
        <v>1.19737828903408</v>
      </c>
      <c r="D24" s="79">
        <v>29.7967913727764</v>
      </c>
      <c r="E24" s="80">
        <v>4.75036150900547e-94</v>
      </c>
      <c r="F24" s="79">
        <v>33.322246825554</v>
      </c>
      <c r="G24" s="80">
        <v>38.0338153197269</v>
      </c>
      <c r="H24" s="79">
        <v>33.322246825554</v>
      </c>
      <c r="I24" s="86">
        <v>38.0338153197269</v>
      </c>
      <c r="L24" s="87"/>
      <c r="M24" s="87"/>
    </row>
  </sheetData>
  <mergeCells count="2">
    <mergeCell ref="A1:M1"/>
    <mergeCell ref="A2:M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zoomScale="90" zoomScaleNormal="90" workbookViewId="0">
      <selection activeCell="E15" sqref="E15"/>
    </sheetView>
  </sheetViews>
  <sheetFormatPr defaultColWidth="9" defaultRowHeight="13.8"/>
  <cols>
    <col min="1" max="1" width="18" customWidth="1"/>
    <col min="2" max="2" width="48.9916666666667" customWidth="1"/>
    <col min="3" max="10" width="18" customWidth="1"/>
  </cols>
  <sheetData>
    <row r="1" customFormat="1" ht="21.75" spans="1:10">
      <c r="A1" s="38" t="s">
        <v>0</v>
      </c>
      <c r="B1" s="60"/>
      <c r="C1" s="60"/>
      <c r="D1" s="60"/>
      <c r="E1" s="60"/>
      <c r="F1" s="60"/>
      <c r="G1" s="60"/>
      <c r="H1" s="60"/>
      <c r="I1" s="60"/>
      <c r="J1" s="61"/>
    </row>
    <row r="2" customFormat="1" ht="14.55" customHeight="1" spans="1:10">
      <c r="A2" s="62" t="s">
        <v>180</v>
      </c>
      <c r="B2" s="63"/>
      <c r="C2" s="63"/>
      <c r="D2" s="63"/>
      <c r="E2" s="63"/>
      <c r="F2" s="63"/>
      <c r="G2" s="63"/>
      <c r="H2" s="63"/>
      <c r="I2" s="63"/>
      <c r="J2" s="64"/>
    </row>
    <row r="3" customFormat="1" ht="14.55" customHeight="1"/>
    <row r="4" customFormat="1" spans="1:10">
      <c r="A4" s="65" t="s">
        <v>133</v>
      </c>
      <c r="B4" s="66">
        <v>0.827</v>
      </c>
    </row>
    <row r="5" customFormat="1" spans="1:10">
      <c r="A5" s="67" t="s">
        <v>181</v>
      </c>
      <c r="B5" s="68">
        <v>0.822</v>
      </c>
    </row>
    <row r="6" customFormat="1" ht="27.6" spans="1:10">
      <c r="A6" s="67" t="s">
        <v>182</v>
      </c>
      <c r="B6" s="6" t="s">
        <v>183</v>
      </c>
    </row>
    <row r="7" customFormat="1" ht="14.55" customHeight="1" spans="1:10">
      <c r="A7" s="69" t="s">
        <v>138</v>
      </c>
      <c r="B7" s="70"/>
      <c r="C7" s="71"/>
      <c r="D7" s="71"/>
      <c r="E7" s="71"/>
      <c r="F7" s="71"/>
      <c r="G7" s="71"/>
      <c r="H7" s="71"/>
      <c r="I7" s="71"/>
      <c r="J7" s="71"/>
    </row>
    <row r="8" ht="14.55" customHeight="1" spans="1:10">
      <c r="A8" s="71"/>
      <c r="B8" s="71"/>
      <c r="C8" s="71"/>
      <c r="D8" s="71"/>
      <c r="E8" s="71"/>
      <c r="F8" s="71"/>
      <c r="G8" s="71"/>
      <c r="H8" s="71"/>
      <c r="I8" s="71"/>
      <c r="J8" s="71"/>
    </row>
    <row r="9" ht="14.55" customHeight="1" spans="1:10">
      <c r="A9" s="72" t="s">
        <v>145</v>
      </c>
      <c r="B9" s="73"/>
      <c r="C9" s="71"/>
      <c r="D9" s="71" t="s">
        <v>157</v>
      </c>
      <c r="E9" s="71"/>
      <c r="F9" s="71"/>
      <c r="G9" s="71"/>
      <c r="H9" s="71"/>
      <c r="I9" s="71"/>
      <c r="J9" s="71"/>
    </row>
    <row r="10" spans="1:10">
      <c r="A10" s="74" t="s">
        <v>147</v>
      </c>
      <c r="B10" s="75">
        <v>0.909300022500855</v>
      </c>
      <c r="C10" s="71"/>
      <c r="D10" s="72"/>
      <c r="E10" s="76" t="s">
        <v>158</v>
      </c>
      <c r="F10" s="77" t="s">
        <v>159</v>
      </c>
      <c r="G10" s="76" t="s">
        <v>160</v>
      </c>
      <c r="H10" s="77" t="s">
        <v>161</v>
      </c>
      <c r="I10" s="76" t="s">
        <v>162</v>
      </c>
      <c r="J10" s="71"/>
    </row>
    <row r="11" spans="1:10">
      <c r="A11" s="74" t="s">
        <v>149</v>
      </c>
      <c r="B11" s="75">
        <v>0.826826530920055</v>
      </c>
      <c r="C11" s="71"/>
      <c r="D11" s="74" t="s">
        <v>163</v>
      </c>
      <c r="E11" s="75">
        <v>9</v>
      </c>
      <c r="F11" s="71">
        <v>2840288550546.53</v>
      </c>
      <c r="G11" s="75">
        <v>315587616727.392</v>
      </c>
      <c r="H11" s="71">
        <v>164.456949790161</v>
      </c>
      <c r="I11" s="75">
        <v>1.99525197460207e-112</v>
      </c>
      <c r="J11" s="71"/>
    </row>
    <row r="12" spans="1:10">
      <c r="A12" s="74" t="s">
        <v>152</v>
      </c>
      <c r="B12" s="75">
        <v>0.821798914075798</v>
      </c>
      <c r="C12" s="71"/>
      <c r="D12" s="74" t="s">
        <v>164</v>
      </c>
      <c r="E12" s="75">
        <v>310</v>
      </c>
      <c r="F12" s="71">
        <v>594880066244.209</v>
      </c>
      <c r="G12" s="75">
        <v>1918967955.62648</v>
      </c>
      <c r="H12" s="71"/>
      <c r="I12" s="75"/>
      <c r="J12" s="71"/>
    </row>
    <row r="13" ht="14.55" spans="1:10">
      <c r="A13" s="74" t="s">
        <v>155</v>
      </c>
      <c r="B13" s="75">
        <v>43806.0264761195</v>
      </c>
      <c r="C13" s="71"/>
      <c r="D13" s="78" t="s">
        <v>165</v>
      </c>
      <c r="E13" s="79">
        <v>319</v>
      </c>
      <c r="F13" s="80">
        <v>3435168616790.74</v>
      </c>
      <c r="G13" s="79"/>
      <c r="H13" s="80"/>
      <c r="I13" s="79"/>
      <c r="J13" s="71"/>
    </row>
    <row r="14" ht="14.55" spans="1:10">
      <c r="A14" s="78" t="s">
        <v>156</v>
      </c>
      <c r="B14" s="79">
        <v>320</v>
      </c>
      <c r="C14" s="71"/>
      <c r="D14" s="71"/>
      <c r="E14" s="71"/>
      <c r="F14" s="71"/>
      <c r="G14" s="71"/>
      <c r="H14" s="71"/>
      <c r="I14" s="71"/>
      <c r="J14" s="71"/>
    </row>
    <row r="15" ht="14.55" spans="1:10">
      <c r="A15" s="71"/>
      <c r="B15" s="71"/>
      <c r="C15" s="71"/>
      <c r="D15" s="71"/>
      <c r="E15" s="71"/>
      <c r="F15" s="71"/>
      <c r="G15" s="71"/>
      <c r="H15" s="71"/>
      <c r="I15" s="71"/>
      <c r="J15" s="71"/>
    </row>
    <row r="16" spans="1:10">
      <c r="A16" s="72"/>
      <c r="B16" s="76" t="s">
        <v>166</v>
      </c>
      <c r="C16" s="77" t="s">
        <v>155</v>
      </c>
      <c r="D16" s="76" t="s">
        <v>167</v>
      </c>
      <c r="E16" s="77" t="s">
        <v>135</v>
      </c>
      <c r="F16" s="76" t="s">
        <v>168</v>
      </c>
      <c r="G16" s="77" t="s">
        <v>169</v>
      </c>
      <c r="H16" s="76" t="s">
        <v>170</v>
      </c>
      <c r="I16" s="81" t="s">
        <v>171</v>
      </c>
      <c r="J16" s="71"/>
    </row>
    <row r="17" spans="1:10">
      <c r="A17" s="82" t="s">
        <v>172</v>
      </c>
      <c r="B17" s="75">
        <v>142396.363593822</v>
      </c>
      <c r="C17" s="71">
        <v>42490.5683488012</v>
      </c>
      <c r="D17" s="75">
        <v>3.35124638543084</v>
      </c>
      <c r="E17" s="71">
        <v>0.000904033416688361</v>
      </c>
      <c r="F17" s="75">
        <v>58789.9697708476</v>
      </c>
      <c r="G17" s="71">
        <v>226002.757416797</v>
      </c>
      <c r="H17" s="75">
        <v>58789.9697708476</v>
      </c>
      <c r="I17" s="83">
        <v>226002.757416797</v>
      </c>
      <c r="J17" s="71"/>
    </row>
    <row r="18" spans="1:10">
      <c r="A18" s="82" t="s">
        <v>6</v>
      </c>
      <c r="B18" s="75">
        <v>1.1883579551677</v>
      </c>
      <c r="C18" s="71">
        <v>0.126830569537816</v>
      </c>
      <c r="D18" s="75">
        <v>9.36964928485463</v>
      </c>
      <c r="E18" s="71">
        <v>1.56274121465574e-18</v>
      </c>
      <c r="F18" s="75">
        <v>0.938800301372046</v>
      </c>
      <c r="G18" s="71">
        <v>1.43791560896336</v>
      </c>
      <c r="H18" s="75">
        <v>0.938800301372046</v>
      </c>
      <c r="I18" s="83">
        <v>1.43791560896336</v>
      </c>
      <c r="J18" s="71"/>
    </row>
    <row r="19" spans="1:10">
      <c r="A19" s="82" t="s">
        <v>7</v>
      </c>
      <c r="B19" s="75">
        <v>33.8598129393662</v>
      </c>
      <c r="C19" s="71">
        <v>1.0245697922025</v>
      </c>
      <c r="D19" s="75">
        <v>33.0478345126479</v>
      </c>
      <c r="E19" s="71">
        <v>1.3099041406678e-103</v>
      </c>
      <c r="F19" s="75">
        <v>31.8438223589902</v>
      </c>
      <c r="G19" s="71">
        <v>35.8758035197422</v>
      </c>
      <c r="H19" s="75">
        <v>31.8438223589902</v>
      </c>
      <c r="I19" s="83">
        <v>35.8758035197422</v>
      </c>
      <c r="J19" s="71"/>
    </row>
    <row r="20" ht="14.55" customHeight="1" spans="1:10">
      <c r="A20" s="82" t="s">
        <v>10</v>
      </c>
      <c r="B20" s="75">
        <v>2961.27064607301</v>
      </c>
      <c r="C20" s="71">
        <v>461.155076774322</v>
      </c>
      <c r="D20" s="75">
        <v>6.42142046182478</v>
      </c>
      <c r="E20" s="84">
        <v>5.06580918448826e-10</v>
      </c>
      <c r="F20" s="75">
        <v>2053.88073672279</v>
      </c>
      <c r="G20" s="71">
        <v>3868.66055542323</v>
      </c>
      <c r="H20" s="75">
        <v>2053.88073672279</v>
      </c>
      <c r="I20" s="83">
        <v>3868.66055542323</v>
      </c>
      <c r="J20" s="71"/>
    </row>
    <row r="21" spans="1:10">
      <c r="A21" s="82" t="s">
        <v>124</v>
      </c>
      <c r="B21" s="75">
        <v>8358.53129559164</v>
      </c>
      <c r="C21" s="71">
        <v>7068.66503875737</v>
      </c>
      <c r="D21" s="75">
        <v>1.18247664159526</v>
      </c>
      <c r="E21" s="71">
        <v>0.237922783057969</v>
      </c>
      <c r="F21" s="75">
        <v>-5550.09868981347</v>
      </c>
      <c r="G21" s="71">
        <v>22267.1612809967</v>
      </c>
      <c r="H21" s="75">
        <v>-5550.09868981347</v>
      </c>
      <c r="I21" s="83">
        <v>22267.1612809967</v>
      </c>
      <c r="J21" s="71"/>
    </row>
    <row r="22" spans="1:10">
      <c r="A22" s="82" t="s">
        <v>125</v>
      </c>
      <c r="B22" s="75">
        <v>20248.2131960452</v>
      </c>
      <c r="C22" s="71">
        <v>7133.43075104826</v>
      </c>
      <c r="D22" s="75">
        <v>2.83849579573891</v>
      </c>
      <c r="E22" s="71">
        <v>0.00483179633633221</v>
      </c>
      <c r="F22" s="75">
        <v>6212.14722052648</v>
      </c>
      <c r="G22" s="71">
        <v>34284.2791715638</v>
      </c>
      <c r="H22" s="75">
        <v>6212.14722052648</v>
      </c>
      <c r="I22" s="83">
        <v>34284.2791715638</v>
      </c>
      <c r="J22" s="71"/>
    </row>
    <row r="23" spans="1:10">
      <c r="A23" s="82" t="s">
        <v>126</v>
      </c>
      <c r="B23" s="75">
        <v>18934.8174751953</v>
      </c>
      <c r="C23" s="71">
        <v>6320.22407026589</v>
      </c>
      <c r="D23" s="75">
        <v>2.99590920585807</v>
      </c>
      <c r="E23" s="71">
        <v>0.0029570732346658</v>
      </c>
      <c r="F23" s="75">
        <v>6498.854314373</v>
      </c>
      <c r="G23" s="71">
        <v>31370.7806360176</v>
      </c>
      <c r="H23" s="75">
        <v>6498.854314373</v>
      </c>
      <c r="I23" s="83">
        <v>31370.7806360176</v>
      </c>
      <c r="J23" s="71"/>
    </row>
    <row r="24" spans="1:10">
      <c r="A24" s="82" t="s">
        <v>127</v>
      </c>
      <c r="B24" s="75">
        <v>-23052.1875743624</v>
      </c>
      <c r="C24" s="71">
        <v>9354.32264520044</v>
      </c>
      <c r="D24" s="75">
        <v>-2.46433530771895</v>
      </c>
      <c r="E24" s="71">
        <v>0.0142690142386927</v>
      </c>
      <c r="F24" s="75">
        <v>-41458.1824436653</v>
      </c>
      <c r="G24" s="71">
        <v>-4646.19270505949</v>
      </c>
      <c r="H24" s="75">
        <v>-41458.1824436653</v>
      </c>
      <c r="I24" s="83">
        <v>-4646.19270505949</v>
      </c>
      <c r="J24" s="71"/>
    </row>
    <row r="25" spans="1:10">
      <c r="A25" s="82" t="s">
        <v>128</v>
      </c>
      <c r="B25" s="75">
        <v>-10756.8005498693</v>
      </c>
      <c r="C25" s="71">
        <v>9733.02965711951</v>
      </c>
      <c r="D25" s="75">
        <v>-1.10518522277397</v>
      </c>
      <c r="E25" s="71">
        <v>0.269936347784222</v>
      </c>
      <c r="F25" s="75">
        <v>-29907.9567293744</v>
      </c>
      <c r="G25" s="71">
        <v>8394.35562963576</v>
      </c>
      <c r="H25" s="75">
        <v>-29907.9567293744</v>
      </c>
      <c r="I25" s="83">
        <v>8394.35562963576</v>
      </c>
      <c r="J25" s="71"/>
    </row>
    <row r="26" ht="14.55" spans="1:10">
      <c r="A26" s="85" t="s">
        <v>129</v>
      </c>
      <c r="B26" s="79">
        <v>-39628.6716021563</v>
      </c>
      <c r="C26" s="80">
        <v>9453.08199073167</v>
      </c>
      <c r="D26" s="79">
        <v>-4.19214301124337</v>
      </c>
      <c r="E26" s="80">
        <v>3.60922518138485e-5</v>
      </c>
      <c r="F26" s="79">
        <v>-58228.9898956225</v>
      </c>
      <c r="G26" s="80">
        <v>-21028.3533086901</v>
      </c>
      <c r="H26" s="79">
        <v>-58228.9898956225</v>
      </c>
      <c r="I26" s="86">
        <v>-21028.3533086901</v>
      </c>
      <c r="J26" s="71"/>
    </row>
    <row r="27" customFormat="1" spans="1:10">
      <c r="J27" s="71"/>
    </row>
    <row r="28" customFormat="1" spans="1:10">
      <c r="J28" s="71"/>
    </row>
    <row r="29" customFormat="1" spans="1:10">
      <c r="J29" s="71"/>
    </row>
    <row r="30" customFormat="1" spans="1:10">
      <c r="J30" s="71"/>
    </row>
  </sheetData>
  <mergeCells count="3">
    <mergeCell ref="A1:J1"/>
    <mergeCell ref="A2:J2"/>
    <mergeCell ref="A3:B3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5"/>
  <sheetViews>
    <sheetView workbookViewId="0">
      <selection activeCell="A2" sqref="A2:D2"/>
    </sheetView>
  </sheetViews>
  <sheetFormatPr defaultColWidth="24.6" defaultRowHeight="13.8" outlineLevelCol="4"/>
  <cols>
    <col min="1" max="16384" width="24.6" customWidth="1"/>
  </cols>
  <sheetData>
    <row r="1" customFormat="1" ht="21.75" spans="1:5">
      <c r="A1" s="38" t="s">
        <v>0</v>
      </c>
      <c r="B1" s="39"/>
      <c r="C1" s="39"/>
      <c r="D1" s="40"/>
    </row>
    <row r="2" customFormat="1" ht="18.65" customHeight="1" spans="1:5">
      <c r="A2" s="41" t="s">
        <v>184</v>
      </c>
      <c r="B2" s="42"/>
      <c r="C2" s="42"/>
      <c r="D2" s="43"/>
    </row>
    <row r="3" customFormat="1" ht="14.55"/>
    <row r="4" customFormat="1" ht="14.55" spans="1:5">
      <c r="A4" s="44" t="s">
        <v>185</v>
      </c>
      <c r="B4" s="45"/>
      <c r="C4" s="45"/>
      <c r="D4" s="45"/>
      <c r="E4" s="46"/>
    </row>
    <row r="5" customFormat="1" ht="14.55" spans="1:5">
      <c r="A5" s="47" t="s">
        <v>2</v>
      </c>
      <c r="B5" s="48" t="s">
        <v>186</v>
      </c>
      <c r="C5" s="49" t="s">
        <v>130</v>
      </c>
      <c r="D5" s="49" t="s">
        <v>131</v>
      </c>
      <c r="E5" s="49" t="s">
        <v>187</v>
      </c>
    </row>
    <row r="6" customFormat="1" spans="1:5">
      <c r="A6" s="50" t="s">
        <v>96</v>
      </c>
      <c r="B6" s="51">
        <v>813316.71</v>
      </c>
      <c r="C6" s="52">
        <v>697606.075349421</v>
      </c>
      <c r="D6" s="53">
        <f>B6-C6</f>
        <v>115710.634650579</v>
      </c>
      <c r="E6" s="53">
        <f>ABS(D6)</f>
        <v>115710.634650579</v>
      </c>
    </row>
    <row r="7" customFormat="1" spans="1:5">
      <c r="A7" s="54" t="s">
        <v>51</v>
      </c>
      <c r="B7" s="55">
        <v>713611.16</v>
      </c>
      <c r="C7" s="56">
        <v>603455.898536889</v>
      </c>
      <c r="D7" s="56">
        <f>B7-C7</f>
        <v>110155.261463111</v>
      </c>
      <c r="E7" s="56">
        <f>ABS(D7)</f>
        <v>110155.261463111</v>
      </c>
    </row>
    <row r="8" customFormat="1" spans="1:5">
      <c r="A8" s="54" t="s">
        <v>49</v>
      </c>
      <c r="B8" s="55">
        <v>625514.04</v>
      </c>
      <c r="C8" s="56">
        <v>524454.492708881</v>
      </c>
      <c r="D8" s="56">
        <f t="shared" ref="D8:D23" si="0">B8-C8</f>
        <v>101059.547291119</v>
      </c>
      <c r="E8" s="56">
        <f t="shared" ref="E8:E29" si="1">ABS(D8)</f>
        <v>101059.547291119</v>
      </c>
    </row>
    <row r="9" customFormat="1" spans="1:5">
      <c r="A9" s="54" t="s">
        <v>73</v>
      </c>
      <c r="B9" s="55">
        <v>735786.64</v>
      </c>
      <c r="C9" s="56">
        <v>639364.468878269</v>
      </c>
      <c r="D9" s="56">
        <f t="shared" si="0"/>
        <v>96422.1711217311</v>
      </c>
      <c r="E9" s="56">
        <f t="shared" si="1"/>
        <v>96422.1711217311</v>
      </c>
    </row>
    <row r="10" customFormat="1" spans="1:5">
      <c r="A10" s="54" t="s">
        <v>53</v>
      </c>
      <c r="B10" s="55">
        <v>820519.04</v>
      </c>
      <c r="C10" s="56">
        <v>724483.253726939</v>
      </c>
      <c r="D10" s="56">
        <f t="shared" si="0"/>
        <v>96035.7862730611</v>
      </c>
      <c r="E10" s="56">
        <f t="shared" si="1"/>
        <v>96035.7862730611</v>
      </c>
    </row>
    <row r="11" customFormat="1" spans="1:5">
      <c r="A11" s="54" t="s">
        <v>42</v>
      </c>
      <c r="B11" s="55">
        <v>788087.68</v>
      </c>
      <c r="C11" s="56">
        <v>692268.979726965</v>
      </c>
      <c r="D11" s="56">
        <f t="shared" si="0"/>
        <v>95818.7002730351</v>
      </c>
      <c r="E11" s="56">
        <f t="shared" si="1"/>
        <v>95818.7002730351</v>
      </c>
    </row>
    <row r="12" customFormat="1" spans="1:5">
      <c r="A12" s="54" t="s">
        <v>55</v>
      </c>
      <c r="B12" s="55">
        <v>914544.17</v>
      </c>
      <c r="C12" s="56">
        <v>825619.931330665</v>
      </c>
      <c r="D12" s="56">
        <f t="shared" si="0"/>
        <v>88924.238669335</v>
      </c>
      <c r="E12" s="56">
        <f t="shared" si="1"/>
        <v>88924.238669335</v>
      </c>
    </row>
    <row r="13" customFormat="1" spans="1:5">
      <c r="A13" s="54" t="s">
        <v>74</v>
      </c>
      <c r="B13" s="55">
        <v>787715.51</v>
      </c>
      <c r="C13" s="56">
        <v>700002.293003281</v>
      </c>
      <c r="D13" s="56">
        <f t="shared" si="0"/>
        <v>87713.216996719</v>
      </c>
      <c r="E13" s="56">
        <f t="shared" si="1"/>
        <v>87713.216996719</v>
      </c>
    </row>
    <row r="14" customFormat="1" spans="1:5">
      <c r="A14" s="54" t="s">
        <v>82</v>
      </c>
      <c r="B14" s="55">
        <v>723305.11</v>
      </c>
      <c r="C14" s="56">
        <v>639279.118885474</v>
      </c>
      <c r="D14" s="56">
        <f t="shared" si="0"/>
        <v>84025.9911145259</v>
      </c>
      <c r="E14" s="56">
        <f t="shared" si="1"/>
        <v>84025.9911145259</v>
      </c>
    </row>
    <row r="15" customFormat="1" spans="1:5">
      <c r="A15" s="54" t="s">
        <v>19</v>
      </c>
      <c r="B15" s="55">
        <v>850164.26</v>
      </c>
      <c r="C15" s="56">
        <v>773503.499508057</v>
      </c>
      <c r="D15" s="56">
        <f t="shared" si="0"/>
        <v>76660.760491943</v>
      </c>
      <c r="E15" s="56">
        <f t="shared" si="1"/>
        <v>76660.760491943</v>
      </c>
    </row>
    <row r="16" customFormat="1" spans="1:5">
      <c r="A16" s="54" t="s">
        <v>44</v>
      </c>
      <c r="B16" s="55">
        <v>727241.86</v>
      </c>
      <c r="C16" s="56">
        <v>652176.650285179</v>
      </c>
      <c r="D16" s="56">
        <f t="shared" si="0"/>
        <v>75065.209714821</v>
      </c>
      <c r="E16" s="56">
        <f t="shared" si="1"/>
        <v>75065.209714821</v>
      </c>
    </row>
    <row r="17" customFormat="1" spans="1:5">
      <c r="A17" s="54" t="s">
        <v>64</v>
      </c>
      <c r="B17" s="55">
        <v>778298.88</v>
      </c>
      <c r="C17" s="56">
        <v>703378.519221032</v>
      </c>
      <c r="D17" s="56">
        <f t="shared" si="0"/>
        <v>74920.360778968</v>
      </c>
      <c r="E17" s="56">
        <f t="shared" si="1"/>
        <v>74920.360778968</v>
      </c>
    </row>
    <row r="18" customFormat="1" spans="1:5">
      <c r="A18" s="54" t="s">
        <v>98</v>
      </c>
      <c r="B18" s="55">
        <v>763162.45</v>
      </c>
      <c r="C18" s="56">
        <v>688954.961007908</v>
      </c>
      <c r="D18" s="56">
        <f t="shared" si="0"/>
        <v>74207.488992092</v>
      </c>
      <c r="E18" s="56">
        <f t="shared" si="1"/>
        <v>74207.488992092</v>
      </c>
    </row>
    <row r="19" customFormat="1" spans="1:5">
      <c r="A19" s="54" t="s">
        <v>88</v>
      </c>
      <c r="B19" s="55">
        <v>840108.12</v>
      </c>
      <c r="C19" s="56">
        <v>765919.897710274</v>
      </c>
      <c r="D19" s="56">
        <f t="shared" si="0"/>
        <v>74188.222289726</v>
      </c>
      <c r="E19" s="56">
        <f t="shared" si="1"/>
        <v>74188.222289726</v>
      </c>
    </row>
    <row r="20" customFormat="1" spans="1:5">
      <c r="A20" s="54" t="s">
        <v>47</v>
      </c>
      <c r="B20" s="55">
        <v>838250.32</v>
      </c>
      <c r="C20" s="56">
        <v>764629.353575655</v>
      </c>
      <c r="D20" s="56">
        <f t="shared" si="0"/>
        <v>73620.9664243449</v>
      </c>
      <c r="E20" s="56">
        <f t="shared" si="1"/>
        <v>73620.9664243449</v>
      </c>
    </row>
    <row r="21" customFormat="1" spans="1:5">
      <c r="A21" s="54" t="s">
        <v>92</v>
      </c>
      <c r="B21" s="55">
        <v>686737.87</v>
      </c>
      <c r="C21" s="56">
        <v>613120.703545269</v>
      </c>
      <c r="D21" s="56">
        <f t="shared" si="0"/>
        <v>73617.166454731</v>
      </c>
      <c r="E21" s="56">
        <f t="shared" si="1"/>
        <v>73617.166454731</v>
      </c>
    </row>
    <row r="22" customFormat="1" spans="1:5">
      <c r="A22" s="54" t="s">
        <v>41</v>
      </c>
      <c r="B22" s="55">
        <v>661927.14</v>
      </c>
      <c r="C22" s="56">
        <v>588625.993838444</v>
      </c>
      <c r="D22" s="56">
        <f t="shared" si="0"/>
        <v>73301.146161556</v>
      </c>
      <c r="E22" s="56">
        <f t="shared" si="1"/>
        <v>73301.146161556</v>
      </c>
    </row>
    <row r="23" customFormat="1" spans="1:5">
      <c r="A23" s="54" t="s">
        <v>34</v>
      </c>
      <c r="B23" s="55">
        <v>657429.18</v>
      </c>
      <c r="C23" s="56">
        <v>587493.088121431</v>
      </c>
      <c r="D23" s="56">
        <f t="shared" si="0"/>
        <v>69936.0918785691</v>
      </c>
      <c r="E23" s="56">
        <f t="shared" si="1"/>
        <v>69936.0918785691</v>
      </c>
    </row>
    <row r="24" customFormat="1" spans="1:5">
      <c r="A24" s="54" t="s">
        <v>70</v>
      </c>
      <c r="B24" s="55">
        <v>765906.95</v>
      </c>
      <c r="C24" s="56">
        <v>698577.939118532</v>
      </c>
      <c r="D24" s="56">
        <f t="shared" ref="D24:D50" si="2">B24-C24</f>
        <v>67329.010881468</v>
      </c>
      <c r="E24" s="56">
        <f t="shared" si="1"/>
        <v>67329.010881468</v>
      </c>
    </row>
    <row r="25" customFormat="1" spans="1:5">
      <c r="A25" s="54" t="s">
        <v>50</v>
      </c>
      <c r="B25" s="55">
        <v>795153.84</v>
      </c>
      <c r="C25" s="56">
        <v>730086.92945618</v>
      </c>
      <c r="D25" s="56">
        <f t="shared" si="2"/>
        <v>65066.91054382</v>
      </c>
      <c r="E25" s="56">
        <f t="shared" si="1"/>
        <v>65066.91054382</v>
      </c>
    </row>
    <row r="26" customFormat="1" spans="1:5">
      <c r="A26" s="54" t="s">
        <v>89</v>
      </c>
      <c r="B26" s="55">
        <v>677640.65</v>
      </c>
      <c r="C26" s="56">
        <v>613259.816393705</v>
      </c>
      <c r="D26" s="56">
        <f t="shared" si="2"/>
        <v>64380.8336062951</v>
      </c>
      <c r="E26" s="56">
        <f t="shared" si="1"/>
        <v>64380.8336062951</v>
      </c>
    </row>
    <row r="27" customFormat="1" spans="1:5">
      <c r="A27" s="54" t="s">
        <v>58</v>
      </c>
      <c r="B27" s="55">
        <v>758827.64</v>
      </c>
      <c r="C27" s="56">
        <v>694623.559490505</v>
      </c>
      <c r="D27" s="56">
        <f t="shared" si="2"/>
        <v>64204.080509495</v>
      </c>
      <c r="E27" s="56">
        <f t="shared" si="1"/>
        <v>64204.080509495</v>
      </c>
    </row>
    <row r="28" customFormat="1" spans="1:5">
      <c r="A28" s="54" t="s">
        <v>87</v>
      </c>
      <c r="B28" s="55">
        <v>799046.94</v>
      </c>
      <c r="C28" s="56">
        <v>735379.479747825</v>
      </c>
      <c r="D28" s="56">
        <f t="shared" si="2"/>
        <v>63667.460252175</v>
      </c>
      <c r="E28" s="56">
        <f t="shared" si="1"/>
        <v>63667.460252175</v>
      </c>
    </row>
    <row r="29" customFormat="1" spans="1:5">
      <c r="A29" s="54" t="s">
        <v>47</v>
      </c>
      <c r="B29" s="55">
        <v>753473.55</v>
      </c>
      <c r="C29" s="56">
        <v>690334.044648411</v>
      </c>
      <c r="D29" s="56">
        <f t="shared" si="2"/>
        <v>63139.5053515891</v>
      </c>
      <c r="E29" s="56">
        <f t="shared" si="1"/>
        <v>63139.5053515891</v>
      </c>
    </row>
    <row r="30" customFormat="1" spans="1:5">
      <c r="A30" s="54" t="s">
        <v>48</v>
      </c>
      <c r="B30" s="55">
        <v>735509.4</v>
      </c>
      <c r="C30" s="56">
        <v>672718.851271647</v>
      </c>
      <c r="D30" s="56">
        <f t="shared" si="2"/>
        <v>62790.548728353</v>
      </c>
      <c r="E30" s="56">
        <f t="shared" ref="E30:E58" si="3">ABS(D30)</f>
        <v>62790.548728353</v>
      </c>
    </row>
    <row r="31" customFormat="1" spans="1:5">
      <c r="A31" s="54" t="s">
        <v>73</v>
      </c>
      <c r="B31" s="55">
        <v>691447.43</v>
      </c>
      <c r="C31" s="56">
        <v>630124.582075185</v>
      </c>
      <c r="D31" s="56">
        <f t="shared" si="2"/>
        <v>61322.847924815</v>
      </c>
      <c r="E31" s="56">
        <f t="shared" si="3"/>
        <v>61322.847924815</v>
      </c>
    </row>
    <row r="32" customFormat="1" spans="1:5">
      <c r="A32" s="54" t="s">
        <v>21</v>
      </c>
      <c r="B32" s="55">
        <v>930581.7</v>
      </c>
      <c r="C32" s="56">
        <v>870240.637558991</v>
      </c>
      <c r="D32" s="56">
        <f t="shared" si="2"/>
        <v>60341.062441009</v>
      </c>
      <c r="E32" s="56">
        <f t="shared" si="3"/>
        <v>60341.062441009</v>
      </c>
    </row>
    <row r="33" customFormat="1" spans="1:5">
      <c r="A33" s="54" t="s">
        <v>24</v>
      </c>
      <c r="B33" s="55">
        <v>922168.6</v>
      </c>
      <c r="C33" s="56">
        <v>862620.294651508</v>
      </c>
      <c r="D33" s="56">
        <f t="shared" si="2"/>
        <v>59548.305348492</v>
      </c>
      <c r="E33" s="56">
        <f t="shared" si="3"/>
        <v>59548.305348492</v>
      </c>
    </row>
    <row r="34" customFormat="1" spans="1:5">
      <c r="A34" s="54" t="s">
        <v>63</v>
      </c>
      <c r="B34" s="55">
        <v>724216.07</v>
      </c>
      <c r="C34" s="56">
        <v>664890.108673263</v>
      </c>
      <c r="D34" s="56">
        <f t="shared" si="2"/>
        <v>59325.961326737</v>
      </c>
      <c r="E34" s="56">
        <f t="shared" si="3"/>
        <v>59325.961326737</v>
      </c>
    </row>
    <row r="35" customFormat="1" spans="1:5">
      <c r="A35" s="54" t="s">
        <v>39</v>
      </c>
      <c r="B35" s="55">
        <v>749559.71</v>
      </c>
      <c r="C35" s="56">
        <v>691367.520773221</v>
      </c>
      <c r="D35" s="56">
        <f t="shared" si="2"/>
        <v>58192.1892267789</v>
      </c>
      <c r="E35" s="56">
        <f t="shared" si="3"/>
        <v>58192.1892267789</v>
      </c>
    </row>
    <row r="36" customFormat="1" spans="1:5">
      <c r="A36" s="54" t="s">
        <v>81</v>
      </c>
      <c r="B36" s="55">
        <v>870937.4</v>
      </c>
      <c r="C36" s="56">
        <v>813182.56624042</v>
      </c>
      <c r="D36" s="56">
        <f t="shared" si="2"/>
        <v>57754.83375958</v>
      </c>
      <c r="E36" s="56">
        <f t="shared" si="3"/>
        <v>57754.83375958</v>
      </c>
    </row>
    <row r="37" customFormat="1" spans="1:5">
      <c r="A37" s="54" t="s">
        <v>75</v>
      </c>
      <c r="B37" s="55">
        <v>795464.47</v>
      </c>
      <c r="C37" s="56">
        <v>741470.024969021</v>
      </c>
      <c r="D37" s="56">
        <f t="shared" si="2"/>
        <v>53994.445030979</v>
      </c>
      <c r="E37" s="56">
        <f t="shared" si="3"/>
        <v>53994.445030979</v>
      </c>
    </row>
    <row r="38" customFormat="1" spans="1:5">
      <c r="A38" s="54" t="s">
        <v>82</v>
      </c>
      <c r="B38" s="55">
        <v>658072.14</v>
      </c>
      <c r="C38" s="56">
        <v>604430.152261434</v>
      </c>
      <c r="D38" s="56">
        <f t="shared" si="2"/>
        <v>53641.987738566</v>
      </c>
      <c r="E38" s="56">
        <f t="shared" si="3"/>
        <v>53641.987738566</v>
      </c>
    </row>
    <row r="39" customFormat="1" spans="1:5">
      <c r="A39" s="54" t="s">
        <v>66</v>
      </c>
      <c r="B39" s="55">
        <v>769702.76</v>
      </c>
      <c r="C39" s="56">
        <v>716997.166247771</v>
      </c>
      <c r="D39" s="56">
        <f t="shared" si="2"/>
        <v>52705.593752229</v>
      </c>
      <c r="E39" s="56">
        <f t="shared" si="3"/>
        <v>52705.593752229</v>
      </c>
    </row>
    <row r="40" customFormat="1" spans="1:5">
      <c r="A40" s="54" t="s">
        <v>99</v>
      </c>
      <c r="B40" s="55">
        <v>780580.95</v>
      </c>
      <c r="C40" s="56">
        <v>730495.296687644</v>
      </c>
      <c r="D40" s="56">
        <f t="shared" si="2"/>
        <v>50085.653312356</v>
      </c>
      <c r="E40" s="56">
        <f t="shared" si="3"/>
        <v>50085.653312356</v>
      </c>
    </row>
    <row r="41" customFormat="1" spans="1:5">
      <c r="A41" s="54" t="s">
        <v>55</v>
      </c>
      <c r="B41" s="55">
        <v>842157.92</v>
      </c>
      <c r="C41" s="56">
        <v>792113.801759654</v>
      </c>
      <c r="D41" s="56">
        <f t="shared" si="2"/>
        <v>50044.1182403461</v>
      </c>
      <c r="E41" s="56">
        <f t="shared" si="3"/>
        <v>50044.1182403461</v>
      </c>
    </row>
    <row r="42" customFormat="1" spans="1:5">
      <c r="A42" s="54" t="s">
        <v>68</v>
      </c>
      <c r="B42" s="55">
        <v>783582</v>
      </c>
      <c r="C42" s="56">
        <v>733774.728964941</v>
      </c>
      <c r="D42" s="56">
        <f t="shared" si="2"/>
        <v>49807.271035059</v>
      </c>
      <c r="E42" s="56">
        <f t="shared" si="3"/>
        <v>49807.271035059</v>
      </c>
    </row>
    <row r="43" customFormat="1" spans="1:5">
      <c r="A43" s="54" t="s">
        <v>100</v>
      </c>
      <c r="B43" s="55">
        <v>665342.49</v>
      </c>
      <c r="C43" s="56">
        <v>617343.809937993</v>
      </c>
      <c r="D43" s="56">
        <f t="shared" si="2"/>
        <v>47998.680062007</v>
      </c>
      <c r="E43" s="56">
        <f t="shared" si="3"/>
        <v>47998.680062007</v>
      </c>
    </row>
    <row r="44" customFormat="1" spans="1:5">
      <c r="A44" s="54" t="s">
        <v>63</v>
      </c>
      <c r="B44" s="55">
        <v>620973.03</v>
      </c>
      <c r="C44" s="56">
        <v>573289.714453784</v>
      </c>
      <c r="D44" s="56">
        <f t="shared" si="2"/>
        <v>47683.315546216</v>
      </c>
      <c r="E44" s="56">
        <f t="shared" si="3"/>
        <v>47683.315546216</v>
      </c>
    </row>
    <row r="45" customFormat="1" spans="1:5">
      <c r="A45" s="54" t="s">
        <v>71</v>
      </c>
      <c r="B45" s="55">
        <v>625993.83</v>
      </c>
      <c r="C45" s="56">
        <v>579046.682188355</v>
      </c>
      <c r="D45" s="56">
        <f t="shared" si="2"/>
        <v>46947.1478116449</v>
      </c>
      <c r="E45" s="56">
        <f t="shared" si="3"/>
        <v>46947.1478116449</v>
      </c>
    </row>
    <row r="46" customFormat="1" spans="1:5">
      <c r="A46" s="54" t="s">
        <v>49</v>
      </c>
      <c r="B46" s="55">
        <v>635181.35</v>
      </c>
      <c r="C46" s="56">
        <v>588700.832057146</v>
      </c>
      <c r="D46" s="56">
        <f t="shared" si="2"/>
        <v>46480.517942854</v>
      </c>
      <c r="E46" s="56">
        <f t="shared" si="3"/>
        <v>46480.517942854</v>
      </c>
    </row>
    <row r="47" customFormat="1" spans="1:5">
      <c r="A47" s="54" t="s">
        <v>21</v>
      </c>
      <c r="B47" s="55">
        <v>910791.94</v>
      </c>
      <c r="C47" s="56">
        <v>864381.407893945</v>
      </c>
      <c r="D47" s="56">
        <f t="shared" si="2"/>
        <v>46410.5321060549</v>
      </c>
      <c r="E47" s="56">
        <f t="shared" si="3"/>
        <v>46410.5321060549</v>
      </c>
    </row>
    <row r="48" customFormat="1" spans="1:5">
      <c r="A48" s="54" t="s">
        <v>33</v>
      </c>
      <c r="B48" s="55">
        <v>820593.93</v>
      </c>
      <c r="C48" s="56">
        <v>774780.256978636</v>
      </c>
      <c r="D48" s="56">
        <f t="shared" si="2"/>
        <v>45813.673021364</v>
      </c>
      <c r="E48" s="56">
        <f t="shared" si="3"/>
        <v>45813.673021364</v>
      </c>
    </row>
    <row r="49" customFormat="1" spans="1:5">
      <c r="A49" s="54" t="s">
        <v>77</v>
      </c>
      <c r="B49" s="55">
        <v>804975.5</v>
      </c>
      <c r="C49" s="56">
        <v>759563.170138505</v>
      </c>
      <c r="D49" s="56">
        <f t="shared" si="2"/>
        <v>45412.3298614949</v>
      </c>
      <c r="E49" s="56">
        <f t="shared" si="3"/>
        <v>45412.3298614949</v>
      </c>
    </row>
    <row r="50" customFormat="1" spans="1:5">
      <c r="A50" s="54" t="s">
        <v>24</v>
      </c>
      <c r="B50" s="55">
        <v>834017.02</v>
      </c>
      <c r="C50" s="56">
        <v>789221.385918023</v>
      </c>
      <c r="D50" s="56">
        <f t="shared" si="2"/>
        <v>44795.6340819771</v>
      </c>
      <c r="E50" s="56">
        <f t="shared" si="3"/>
        <v>44795.6340819771</v>
      </c>
    </row>
    <row r="51" customFormat="1" spans="1:5">
      <c r="A51" s="54" t="s">
        <v>91</v>
      </c>
      <c r="B51" s="55">
        <v>739374.56</v>
      </c>
      <c r="C51" s="56">
        <v>695100.171940006</v>
      </c>
      <c r="D51" s="56">
        <f t="shared" ref="D51:D68" si="4">B51-C51</f>
        <v>44274.3880599941</v>
      </c>
      <c r="E51" s="56">
        <f t="shared" si="3"/>
        <v>44274.3880599941</v>
      </c>
    </row>
    <row r="52" customFormat="1" spans="1:5">
      <c r="A52" s="54" t="s">
        <v>68</v>
      </c>
      <c r="B52" s="55">
        <v>898031.04</v>
      </c>
      <c r="C52" s="56">
        <v>854211.39445747</v>
      </c>
      <c r="D52" s="56">
        <f t="shared" si="4"/>
        <v>43819.64554253</v>
      </c>
      <c r="E52" s="56">
        <f t="shared" si="3"/>
        <v>43819.64554253</v>
      </c>
    </row>
    <row r="53" customFormat="1" spans="1:5">
      <c r="A53" s="54" t="s">
        <v>41</v>
      </c>
      <c r="B53" s="55">
        <v>674774.09</v>
      </c>
      <c r="C53" s="56">
        <v>631113.197910528</v>
      </c>
      <c r="D53" s="56">
        <f t="shared" si="4"/>
        <v>43660.8920894719</v>
      </c>
      <c r="E53" s="56">
        <f t="shared" si="3"/>
        <v>43660.8920894719</v>
      </c>
    </row>
    <row r="54" customFormat="1" spans="1:5">
      <c r="A54" s="54" t="s">
        <v>44</v>
      </c>
      <c r="B54" s="55">
        <v>682208.01</v>
      </c>
      <c r="C54" s="56">
        <v>638662.471879303</v>
      </c>
      <c r="D54" s="56">
        <f t="shared" si="4"/>
        <v>43545.538120697</v>
      </c>
      <c r="E54" s="56">
        <f t="shared" si="3"/>
        <v>43545.538120697</v>
      </c>
    </row>
    <row r="55" customFormat="1" spans="1:5">
      <c r="A55" s="54" t="s">
        <v>39</v>
      </c>
      <c r="B55" s="55">
        <v>615966.48</v>
      </c>
      <c r="C55" s="56">
        <v>573051.16404779</v>
      </c>
      <c r="D55" s="56">
        <f t="shared" si="4"/>
        <v>42915.31595221</v>
      </c>
      <c r="E55" s="56">
        <f t="shared" si="3"/>
        <v>42915.31595221</v>
      </c>
    </row>
    <row r="56" customFormat="1" spans="1:5">
      <c r="A56" s="54" t="s">
        <v>77</v>
      </c>
      <c r="B56" s="55">
        <v>812152.6</v>
      </c>
      <c r="C56" s="56">
        <v>769638.522721644</v>
      </c>
      <c r="D56" s="56">
        <f t="shared" si="4"/>
        <v>42514.077278356</v>
      </c>
      <c r="E56" s="56">
        <f t="shared" si="3"/>
        <v>42514.077278356</v>
      </c>
    </row>
    <row r="57" customFormat="1" spans="1:5">
      <c r="A57" s="54" t="s">
        <v>90</v>
      </c>
      <c r="B57" s="55">
        <v>762328.31</v>
      </c>
      <c r="C57" s="56">
        <v>720069.583181317</v>
      </c>
      <c r="D57" s="56">
        <f t="shared" si="4"/>
        <v>42258.7268186831</v>
      </c>
      <c r="E57" s="56">
        <f t="shared" si="3"/>
        <v>42258.7268186831</v>
      </c>
    </row>
    <row r="58" customFormat="1" spans="1:5">
      <c r="A58" s="54" t="s">
        <v>43</v>
      </c>
      <c r="B58" s="55">
        <v>776922.17</v>
      </c>
      <c r="C58" s="56">
        <v>735528.743373454</v>
      </c>
      <c r="D58" s="56">
        <f t="shared" si="4"/>
        <v>41393.4266265461</v>
      </c>
      <c r="E58" s="56">
        <f t="shared" si="3"/>
        <v>41393.4266265461</v>
      </c>
    </row>
    <row r="59" customFormat="1" spans="1:5">
      <c r="A59" s="54" t="s">
        <v>96</v>
      </c>
      <c r="B59" s="55">
        <v>729424.42</v>
      </c>
      <c r="C59" s="56">
        <v>689110.775848582</v>
      </c>
      <c r="D59" s="56">
        <f t="shared" si="4"/>
        <v>40313.644151418</v>
      </c>
      <c r="E59" s="56">
        <f t="shared" ref="E59:E90" si="5">ABS(D59)</f>
        <v>40313.644151418</v>
      </c>
    </row>
    <row r="60" customFormat="1" spans="1:5">
      <c r="A60" s="54" t="s">
        <v>88</v>
      </c>
      <c r="B60" s="55">
        <v>776110.32</v>
      </c>
      <c r="C60" s="56">
        <v>735872.775260698</v>
      </c>
      <c r="D60" s="56">
        <f t="shared" si="4"/>
        <v>40237.5447393019</v>
      </c>
      <c r="E60" s="56">
        <f t="shared" si="5"/>
        <v>40237.5447393019</v>
      </c>
    </row>
    <row r="61" customFormat="1" spans="1:5">
      <c r="A61" s="54" t="s">
        <v>39</v>
      </c>
      <c r="B61" s="55">
        <v>761860.19</v>
      </c>
      <c r="C61" s="56">
        <v>722588.843830709</v>
      </c>
      <c r="D61" s="56">
        <f t="shared" si="4"/>
        <v>39271.3461692909</v>
      </c>
      <c r="E61" s="56">
        <f t="shared" si="5"/>
        <v>39271.3461692909</v>
      </c>
    </row>
    <row r="62" customFormat="1" spans="1:5">
      <c r="A62" s="54" t="s">
        <v>65</v>
      </c>
      <c r="B62" s="55">
        <v>825797.91</v>
      </c>
      <c r="C62" s="56">
        <v>786903.119621986</v>
      </c>
      <c r="D62" s="56">
        <f t="shared" si="4"/>
        <v>38894.790378014</v>
      </c>
      <c r="E62" s="56">
        <f t="shared" si="5"/>
        <v>38894.790378014</v>
      </c>
    </row>
    <row r="63" customFormat="1" spans="1:5">
      <c r="A63" s="54" t="s">
        <v>59</v>
      </c>
      <c r="B63" s="55">
        <v>682639.28</v>
      </c>
      <c r="C63" s="56">
        <v>643818.953332543</v>
      </c>
      <c r="D63" s="56">
        <f t="shared" si="4"/>
        <v>38820.326667457</v>
      </c>
      <c r="E63" s="56">
        <f t="shared" si="5"/>
        <v>38820.326667457</v>
      </c>
    </row>
    <row r="64" customFormat="1" spans="1:5">
      <c r="A64" s="54" t="s">
        <v>37</v>
      </c>
      <c r="B64" s="55">
        <v>720852.5</v>
      </c>
      <c r="C64" s="56">
        <v>682130.853270243</v>
      </c>
      <c r="D64" s="56">
        <f t="shared" si="4"/>
        <v>38721.646729757</v>
      </c>
      <c r="E64" s="56">
        <f t="shared" si="5"/>
        <v>38721.646729757</v>
      </c>
    </row>
    <row r="65" customFormat="1" spans="1:5">
      <c r="A65" s="54" t="s">
        <v>100</v>
      </c>
      <c r="B65" s="55">
        <v>727957.48</v>
      </c>
      <c r="C65" s="56">
        <v>689393.912075459</v>
      </c>
      <c r="D65" s="56">
        <f t="shared" si="4"/>
        <v>38563.567924541</v>
      </c>
      <c r="E65" s="56">
        <f t="shared" si="5"/>
        <v>38563.567924541</v>
      </c>
    </row>
    <row r="66" customFormat="1" spans="1:5">
      <c r="A66" s="54" t="s">
        <v>93</v>
      </c>
      <c r="B66" s="55">
        <v>738548.42</v>
      </c>
      <c r="C66" s="56">
        <v>700362.963589825</v>
      </c>
      <c r="D66" s="56">
        <f t="shared" si="4"/>
        <v>38185.4564101751</v>
      </c>
      <c r="E66" s="56">
        <f t="shared" si="5"/>
        <v>38185.4564101751</v>
      </c>
    </row>
    <row r="67" customFormat="1" spans="1:5">
      <c r="A67" s="54" t="s">
        <v>54</v>
      </c>
      <c r="B67" s="55">
        <v>654317.09</v>
      </c>
      <c r="C67" s="56">
        <v>616204.648514632</v>
      </c>
      <c r="D67" s="56">
        <f t="shared" si="4"/>
        <v>38112.4414853679</v>
      </c>
      <c r="E67" s="56">
        <f t="shared" si="5"/>
        <v>38112.4414853679</v>
      </c>
    </row>
    <row r="68" customFormat="1" spans="1:5">
      <c r="A68" s="54" t="s">
        <v>27</v>
      </c>
      <c r="B68" s="55">
        <v>555929.4</v>
      </c>
      <c r="C68" s="56">
        <v>518083.588774588</v>
      </c>
      <c r="D68" s="56">
        <f t="shared" si="4"/>
        <v>37845.811225412</v>
      </c>
      <c r="E68" s="56">
        <f t="shared" si="5"/>
        <v>37845.811225412</v>
      </c>
    </row>
    <row r="69" customFormat="1" spans="1:5">
      <c r="A69" s="54" t="s">
        <v>102</v>
      </c>
      <c r="B69" s="55">
        <v>844710.67</v>
      </c>
      <c r="C69" s="56">
        <v>808013.154442887</v>
      </c>
      <c r="D69" s="56">
        <f t="shared" ref="D69:D87" si="6">B69-C69</f>
        <v>36697.515557113</v>
      </c>
      <c r="E69" s="56">
        <f t="shared" si="5"/>
        <v>36697.515557113</v>
      </c>
    </row>
    <row r="70" customFormat="1" spans="1:5">
      <c r="A70" s="54" t="s">
        <v>59</v>
      </c>
      <c r="B70" s="55">
        <v>715890.53</v>
      </c>
      <c r="C70" s="56">
        <v>679974.459056796</v>
      </c>
      <c r="D70" s="56">
        <f t="shared" si="6"/>
        <v>35916.070943204</v>
      </c>
      <c r="E70" s="56">
        <f t="shared" si="5"/>
        <v>35916.070943204</v>
      </c>
    </row>
    <row r="71" customFormat="1" spans="1:5">
      <c r="A71" s="54" t="s">
        <v>35</v>
      </c>
      <c r="B71" s="55">
        <v>614800.09</v>
      </c>
      <c r="C71" s="56">
        <v>579154.505599896</v>
      </c>
      <c r="D71" s="56">
        <f t="shared" si="6"/>
        <v>35645.584400104</v>
      </c>
      <c r="E71" s="56">
        <f t="shared" si="5"/>
        <v>35645.584400104</v>
      </c>
    </row>
    <row r="72" customFormat="1" spans="1:5">
      <c r="A72" s="54" t="s">
        <v>36</v>
      </c>
      <c r="B72" s="55">
        <v>773815.14</v>
      </c>
      <c r="C72" s="56">
        <v>738501.962554218</v>
      </c>
      <c r="D72" s="56">
        <f t="shared" si="6"/>
        <v>35313.177445782</v>
      </c>
      <c r="E72" s="56">
        <f t="shared" si="5"/>
        <v>35313.177445782</v>
      </c>
    </row>
    <row r="73" customFormat="1" spans="1:5">
      <c r="A73" s="54" t="s">
        <v>102</v>
      </c>
      <c r="B73" s="55">
        <v>702052.47</v>
      </c>
      <c r="C73" s="56">
        <v>666868.427469781</v>
      </c>
      <c r="D73" s="56">
        <f t="shared" si="6"/>
        <v>35184.042530219</v>
      </c>
      <c r="E73" s="56">
        <f t="shared" si="5"/>
        <v>35184.042530219</v>
      </c>
    </row>
    <row r="74" customFormat="1" spans="1:5">
      <c r="A74" s="54" t="s">
        <v>58</v>
      </c>
      <c r="B74" s="55">
        <v>743348.84</v>
      </c>
      <c r="C74" s="56">
        <v>708864.110649085</v>
      </c>
      <c r="D74" s="56">
        <f t="shared" si="6"/>
        <v>34484.7293509149</v>
      </c>
      <c r="E74" s="56">
        <f t="shared" si="5"/>
        <v>34484.7293509149</v>
      </c>
    </row>
    <row r="75" customFormat="1" spans="1:5">
      <c r="A75" s="54" t="s">
        <v>51</v>
      </c>
      <c r="B75" s="55">
        <v>709478.39</v>
      </c>
      <c r="C75" s="56">
        <v>675795.313631534</v>
      </c>
      <c r="D75" s="56">
        <f t="shared" si="6"/>
        <v>33683.076368466</v>
      </c>
      <c r="E75" s="56">
        <f t="shared" si="5"/>
        <v>33683.076368466</v>
      </c>
    </row>
    <row r="76" customFormat="1" spans="1:5">
      <c r="A76" s="54" t="s">
        <v>90</v>
      </c>
      <c r="B76" s="55">
        <v>767792.94</v>
      </c>
      <c r="C76" s="56">
        <v>734181.137798326</v>
      </c>
      <c r="D76" s="56">
        <f t="shared" si="6"/>
        <v>33611.802201674</v>
      </c>
      <c r="E76" s="56">
        <f t="shared" si="5"/>
        <v>33611.802201674</v>
      </c>
    </row>
    <row r="77" customFormat="1" spans="1:5">
      <c r="A77" s="54" t="s">
        <v>102</v>
      </c>
      <c r="B77" s="55">
        <v>712375.77</v>
      </c>
      <c r="C77" s="56">
        <v>679362.755603658</v>
      </c>
      <c r="D77" s="56">
        <f t="shared" si="6"/>
        <v>33013.014396342</v>
      </c>
      <c r="E77" s="56">
        <f t="shared" si="5"/>
        <v>33013.014396342</v>
      </c>
    </row>
    <row r="78" customFormat="1" spans="1:5">
      <c r="A78" s="54" t="s">
        <v>78</v>
      </c>
      <c r="B78" s="55">
        <v>673348.56</v>
      </c>
      <c r="C78" s="56">
        <v>640451.93783398</v>
      </c>
      <c r="D78" s="56">
        <f t="shared" si="6"/>
        <v>32896.6221660201</v>
      </c>
      <c r="E78" s="56">
        <f t="shared" si="5"/>
        <v>32896.6221660201</v>
      </c>
    </row>
    <row r="79" customFormat="1" spans="1:5">
      <c r="A79" s="54" t="s">
        <v>49</v>
      </c>
      <c r="B79" s="55">
        <v>740102.64</v>
      </c>
      <c r="C79" s="56">
        <v>708404.601820482</v>
      </c>
      <c r="D79" s="56">
        <f t="shared" si="6"/>
        <v>31698.038179518</v>
      </c>
      <c r="E79" s="56">
        <f t="shared" si="5"/>
        <v>31698.038179518</v>
      </c>
    </row>
    <row r="80" customFormat="1" spans="1:5">
      <c r="A80" s="54" t="s">
        <v>43</v>
      </c>
      <c r="B80" s="55">
        <v>691112.6</v>
      </c>
      <c r="C80" s="56">
        <v>659565.655706963</v>
      </c>
      <c r="D80" s="56">
        <f t="shared" si="6"/>
        <v>31546.9442930369</v>
      </c>
      <c r="E80" s="56">
        <f t="shared" si="5"/>
        <v>31546.9442930369</v>
      </c>
    </row>
    <row r="81" customFormat="1" spans="1:5">
      <c r="A81" s="54" t="s">
        <v>81</v>
      </c>
      <c r="B81" s="55">
        <v>647512.85</v>
      </c>
      <c r="C81" s="56">
        <v>617303.512022806</v>
      </c>
      <c r="D81" s="56">
        <f t="shared" si="6"/>
        <v>30209.337977194</v>
      </c>
      <c r="E81" s="56">
        <f t="shared" si="5"/>
        <v>30209.337977194</v>
      </c>
    </row>
    <row r="82" customFormat="1" spans="1:5">
      <c r="A82" s="54" t="s">
        <v>56</v>
      </c>
      <c r="B82" s="55">
        <v>849018.3</v>
      </c>
      <c r="C82" s="56">
        <v>819077.208617186</v>
      </c>
      <c r="D82" s="56">
        <f t="shared" si="6"/>
        <v>29941.091382814</v>
      </c>
      <c r="E82" s="56">
        <f t="shared" si="5"/>
        <v>29941.091382814</v>
      </c>
    </row>
    <row r="83" customFormat="1" spans="1:5">
      <c r="A83" s="54" t="s">
        <v>92</v>
      </c>
      <c r="B83" s="55">
        <v>561597.33</v>
      </c>
      <c r="C83" s="56">
        <v>532655.291430784</v>
      </c>
      <c r="D83" s="56">
        <f t="shared" si="6"/>
        <v>28942.0385692159</v>
      </c>
      <c r="E83" s="56">
        <f t="shared" si="5"/>
        <v>28942.0385692159</v>
      </c>
    </row>
    <row r="84" customFormat="1" spans="1:5">
      <c r="A84" s="54" t="s">
        <v>37</v>
      </c>
      <c r="B84" s="55">
        <v>746677.75</v>
      </c>
      <c r="C84" s="56">
        <v>718962.489269229</v>
      </c>
      <c r="D84" s="56">
        <f t="shared" si="6"/>
        <v>27715.260730771</v>
      </c>
      <c r="E84" s="56">
        <f t="shared" si="5"/>
        <v>27715.260730771</v>
      </c>
    </row>
    <row r="85" customFormat="1" spans="1:5">
      <c r="A85" s="54" t="s">
        <v>90</v>
      </c>
      <c r="B85" s="55">
        <v>745580.51</v>
      </c>
      <c r="C85" s="56">
        <v>717917.120219172</v>
      </c>
      <c r="D85" s="56">
        <f t="shared" si="6"/>
        <v>27663.389780828</v>
      </c>
      <c r="E85" s="56">
        <f t="shared" si="5"/>
        <v>27663.389780828</v>
      </c>
    </row>
    <row r="86" customFormat="1" spans="1:5">
      <c r="A86" s="54" t="s">
        <v>103</v>
      </c>
      <c r="B86" s="55">
        <v>536845.42</v>
      </c>
      <c r="C86" s="56">
        <v>509342.854619557</v>
      </c>
      <c r="D86" s="56">
        <f t="shared" si="6"/>
        <v>27502.5653804431</v>
      </c>
      <c r="E86" s="56">
        <f t="shared" si="5"/>
        <v>27502.5653804431</v>
      </c>
    </row>
    <row r="87" customFormat="1" spans="1:5">
      <c r="A87" s="54" t="s">
        <v>52</v>
      </c>
      <c r="B87" s="55">
        <v>873380.02</v>
      </c>
      <c r="C87" s="56">
        <v>846396.155277245</v>
      </c>
      <c r="D87" s="56">
        <f t="shared" si="6"/>
        <v>26983.864722755</v>
      </c>
      <c r="E87" s="56">
        <f t="shared" si="5"/>
        <v>26983.864722755</v>
      </c>
    </row>
    <row r="88" customFormat="1" spans="1:5">
      <c r="A88" s="54" t="s">
        <v>46</v>
      </c>
      <c r="B88" s="55">
        <v>711213.46</v>
      </c>
      <c r="C88" s="56">
        <v>684285.129772973</v>
      </c>
      <c r="D88" s="56">
        <f t="shared" ref="D88:D104" si="7">B88-C88</f>
        <v>26928.3302270269</v>
      </c>
      <c r="E88" s="56">
        <f t="shared" si="5"/>
        <v>26928.3302270269</v>
      </c>
    </row>
    <row r="89" customFormat="1" spans="1:5">
      <c r="A89" s="54" t="s">
        <v>50</v>
      </c>
      <c r="B89" s="55">
        <v>727227.2</v>
      </c>
      <c r="C89" s="56">
        <v>700502.412276062</v>
      </c>
      <c r="D89" s="56">
        <f t="shared" si="7"/>
        <v>26724.787723938</v>
      </c>
      <c r="E89" s="56">
        <f t="shared" si="5"/>
        <v>26724.787723938</v>
      </c>
    </row>
    <row r="90" customFormat="1" spans="1:5">
      <c r="A90" s="54" t="s">
        <v>52</v>
      </c>
      <c r="B90" s="55">
        <v>778397.97</v>
      </c>
      <c r="C90" s="56">
        <v>753398.660382588</v>
      </c>
      <c r="D90" s="56">
        <f t="shared" si="7"/>
        <v>24999.3096174119</v>
      </c>
      <c r="E90" s="56">
        <f t="shared" si="5"/>
        <v>24999.3096174119</v>
      </c>
    </row>
    <row r="91" customFormat="1" spans="1:5">
      <c r="A91" s="54" t="s">
        <v>80</v>
      </c>
      <c r="B91" s="55">
        <v>641564.6</v>
      </c>
      <c r="C91" s="56">
        <v>616882.430646087</v>
      </c>
      <c r="D91" s="56">
        <f t="shared" si="7"/>
        <v>24682.1693539129</v>
      </c>
      <c r="E91" s="56">
        <f t="shared" ref="E91:E122" si="8">ABS(D91)</f>
        <v>24682.1693539129</v>
      </c>
    </row>
    <row r="92" customFormat="1" spans="1:5">
      <c r="A92" s="54" t="s">
        <v>42</v>
      </c>
      <c r="B92" s="55">
        <v>616069.41</v>
      </c>
      <c r="C92" s="56">
        <v>591402.060807334</v>
      </c>
      <c r="D92" s="56">
        <f t="shared" si="7"/>
        <v>24667.349192666</v>
      </c>
      <c r="E92" s="56">
        <f t="shared" si="8"/>
        <v>24667.349192666</v>
      </c>
    </row>
    <row r="93" customFormat="1" spans="1:5">
      <c r="A93" s="54" t="s">
        <v>67</v>
      </c>
      <c r="B93" s="55">
        <v>780344.18</v>
      </c>
      <c r="C93" s="56">
        <v>755806.109004059</v>
      </c>
      <c r="D93" s="56">
        <f t="shared" si="7"/>
        <v>24538.0709959411</v>
      </c>
      <c r="E93" s="56">
        <f t="shared" si="8"/>
        <v>24538.0709959411</v>
      </c>
    </row>
    <row r="94" customFormat="1" spans="1:5">
      <c r="A94" s="54" t="s">
        <v>80</v>
      </c>
      <c r="B94" s="55">
        <v>529598.94</v>
      </c>
      <c r="C94" s="56">
        <v>506269.238681235</v>
      </c>
      <c r="D94" s="56">
        <f t="shared" si="7"/>
        <v>23329.7013187649</v>
      </c>
      <c r="E94" s="56">
        <f t="shared" si="8"/>
        <v>23329.7013187649</v>
      </c>
    </row>
    <row r="95" customFormat="1" spans="1:5">
      <c r="A95" s="54" t="s">
        <v>70</v>
      </c>
      <c r="B95" s="55">
        <v>678311.17</v>
      </c>
      <c r="C95" s="56">
        <v>656247.925789265</v>
      </c>
      <c r="D95" s="56">
        <f t="shared" si="7"/>
        <v>22063.2442107351</v>
      </c>
      <c r="E95" s="56">
        <f t="shared" si="8"/>
        <v>22063.2442107351</v>
      </c>
    </row>
    <row r="96" customFormat="1" spans="1:5">
      <c r="A96" s="54" t="s">
        <v>46</v>
      </c>
      <c r="B96" s="55">
        <v>586307.22</v>
      </c>
      <c r="C96" s="56">
        <v>565108.256821382</v>
      </c>
      <c r="D96" s="56">
        <f t="shared" si="7"/>
        <v>21198.963178618</v>
      </c>
      <c r="E96" s="56">
        <f t="shared" si="8"/>
        <v>21198.963178618</v>
      </c>
    </row>
    <row r="97" customFormat="1" spans="1:5">
      <c r="A97" s="54" t="s">
        <v>19</v>
      </c>
      <c r="B97" s="55">
        <v>806615.54</v>
      </c>
      <c r="C97" s="56">
        <v>786018.326575735</v>
      </c>
      <c r="D97" s="56">
        <f t="shared" si="7"/>
        <v>20597.213424265</v>
      </c>
      <c r="E97" s="56">
        <f t="shared" si="8"/>
        <v>20597.213424265</v>
      </c>
    </row>
    <row r="98" customFormat="1" spans="1:5">
      <c r="A98" s="54" t="s">
        <v>86</v>
      </c>
      <c r="B98" s="55">
        <v>729440.45</v>
      </c>
      <c r="C98" s="56">
        <v>709678.709908678</v>
      </c>
      <c r="D98" s="56">
        <f t="shared" si="7"/>
        <v>19761.740091322</v>
      </c>
      <c r="E98" s="56">
        <f t="shared" si="8"/>
        <v>19761.740091322</v>
      </c>
    </row>
    <row r="99" customFormat="1" spans="1:5">
      <c r="A99" s="54" t="s">
        <v>27</v>
      </c>
      <c r="B99" s="55">
        <v>565810.99</v>
      </c>
      <c r="C99" s="56">
        <v>546084.943086041</v>
      </c>
      <c r="D99" s="56">
        <f t="shared" si="7"/>
        <v>19726.046913959</v>
      </c>
      <c r="E99" s="56">
        <f t="shared" si="8"/>
        <v>19726.046913959</v>
      </c>
    </row>
    <row r="100" customFormat="1" spans="1:5">
      <c r="A100" s="54" t="s">
        <v>61</v>
      </c>
      <c r="B100" s="55">
        <v>696744.15</v>
      </c>
      <c r="C100" s="56">
        <v>677094.44060869</v>
      </c>
      <c r="D100" s="56">
        <f t="shared" si="7"/>
        <v>19649.70939131</v>
      </c>
      <c r="E100" s="56">
        <f t="shared" si="8"/>
        <v>19649.70939131</v>
      </c>
    </row>
    <row r="101" customFormat="1" spans="1:5">
      <c r="A101" s="54" t="s">
        <v>31</v>
      </c>
      <c r="B101" s="55">
        <v>537383.79</v>
      </c>
      <c r="C101" s="56">
        <v>517880.392517987</v>
      </c>
      <c r="D101" s="56">
        <f t="shared" si="7"/>
        <v>19503.397482013</v>
      </c>
      <c r="E101" s="56">
        <f t="shared" si="8"/>
        <v>19503.397482013</v>
      </c>
    </row>
    <row r="102" customFormat="1" spans="1:5">
      <c r="A102" s="54" t="s">
        <v>58</v>
      </c>
      <c r="B102" s="55">
        <v>646559.71</v>
      </c>
      <c r="C102" s="56">
        <v>627113.759945662</v>
      </c>
      <c r="D102" s="56">
        <f t="shared" si="7"/>
        <v>19445.950054338</v>
      </c>
      <c r="E102" s="56">
        <f t="shared" si="8"/>
        <v>19445.950054338</v>
      </c>
    </row>
    <row r="103" customFormat="1" spans="1:5">
      <c r="A103" s="54" t="s">
        <v>85</v>
      </c>
      <c r="B103" s="55">
        <v>802001.68</v>
      </c>
      <c r="C103" s="56">
        <v>782758.245467161</v>
      </c>
      <c r="D103" s="56">
        <f t="shared" si="7"/>
        <v>19243.4345328391</v>
      </c>
      <c r="E103" s="56">
        <f t="shared" si="8"/>
        <v>19243.4345328391</v>
      </c>
    </row>
    <row r="104" customFormat="1" spans="1:5">
      <c r="A104" s="54" t="s">
        <v>97</v>
      </c>
      <c r="B104" s="55">
        <v>487738.26</v>
      </c>
      <c r="C104" s="56">
        <v>469041.333922937</v>
      </c>
      <c r="D104" s="56">
        <f t="shared" si="7"/>
        <v>18696.926077063</v>
      </c>
      <c r="E104" s="56">
        <f t="shared" si="8"/>
        <v>18696.926077063</v>
      </c>
    </row>
    <row r="105" customFormat="1" spans="1:5">
      <c r="A105" s="54" t="s">
        <v>82</v>
      </c>
      <c r="B105" s="55">
        <v>640666.53</v>
      </c>
      <c r="C105" s="56">
        <v>622046.258707418</v>
      </c>
      <c r="D105" s="56">
        <f t="shared" ref="D105:D126" si="9">B105-C105</f>
        <v>18620.271292582</v>
      </c>
      <c r="E105" s="56">
        <f t="shared" si="8"/>
        <v>18620.271292582</v>
      </c>
    </row>
    <row r="106" customFormat="1" spans="1:5">
      <c r="A106" s="54" t="s">
        <v>94</v>
      </c>
      <c r="B106" s="55">
        <v>714083.68</v>
      </c>
      <c r="C106" s="56">
        <v>696362.178902432</v>
      </c>
      <c r="D106" s="56">
        <f t="shared" si="9"/>
        <v>17721.5010975681</v>
      </c>
      <c r="E106" s="56">
        <f t="shared" si="8"/>
        <v>17721.5010975681</v>
      </c>
    </row>
    <row r="107" customFormat="1" spans="1:5">
      <c r="A107" s="54" t="s">
        <v>77</v>
      </c>
      <c r="B107" s="55">
        <v>836908.24</v>
      </c>
      <c r="C107" s="56">
        <v>819838.950222581</v>
      </c>
      <c r="D107" s="56">
        <f t="shared" si="9"/>
        <v>17069.2897774189</v>
      </c>
      <c r="E107" s="56">
        <f t="shared" si="8"/>
        <v>17069.2897774189</v>
      </c>
    </row>
    <row r="108" customFormat="1" spans="1:5">
      <c r="A108" s="54" t="s">
        <v>62</v>
      </c>
      <c r="B108" s="55">
        <v>698492.67</v>
      </c>
      <c r="C108" s="56">
        <v>681690.104111236</v>
      </c>
      <c r="D108" s="56">
        <f t="shared" si="9"/>
        <v>16802.565888764</v>
      </c>
      <c r="E108" s="56">
        <f t="shared" si="8"/>
        <v>16802.565888764</v>
      </c>
    </row>
    <row r="109" customFormat="1" spans="1:5">
      <c r="A109" s="54" t="s">
        <v>71</v>
      </c>
      <c r="B109" s="55">
        <v>550962.93</v>
      </c>
      <c r="C109" s="56">
        <v>534288.908418973</v>
      </c>
      <c r="D109" s="56">
        <f t="shared" si="9"/>
        <v>16674.0215810271</v>
      </c>
      <c r="E109" s="56">
        <f t="shared" si="8"/>
        <v>16674.0215810271</v>
      </c>
    </row>
    <row r="110" customFormat="1" spans="1:5">
      <c r="A110" s="54" t="s">
        <v>59</v>
      </c>
      <c r="B110" s="55">
        <v>715097.57</v>
      </c>
      <c r="C110" s="56">
        <v>698542.541699588</v>
      </c>
      <c r="D110" s="56">
        <f t="shared" si="9"/>
        <v>16555.028300412</v>
      </c>
      <c r="E110" s="56">
        <f t="shared" si="8"/>
        <v>16555.028300412</v>
      </c>
    </row>
    <row r="111" customFormat="1" spans="1:5">
      <c r="A111" s="54" t="s">
        <v>87</v>
      </c>
      <c r="B111" s="55">
        <v>720079.54</v>
      </c>
      <c r="C111" s="56">
        <v>703560.797265287</v>
      </c>
      <c r="D111" s="56">
        <f t="shared" si="9"/>
        <v>16518.742734713</v>
      </c>
      <c r="E111" s="56">
        <f t="shared" si="8"/>
        <v>16518.742734713</v>
      </c>
    </row>
    <row r="112" customFormat="1" spans="1:5">
      <c r="A112" s="54" t="s">
        <v>36</v>
      </c>
      <c r="B112" s="55">
        <v>625672.86</v>
      </c>
      <c r="C112" s="56">
        <v>609845.538002747</v>
      </c>
      <c r="D112" s="56">
        <f t="shared" si="9"/>
        <v>15827.321997253</v>
      </c>
      <c r="E112" s="56">
        <f t="shared" si="8"/>
        <v>15827.321997253</v>
      </c>
    </row>
    <row r="113" customFormat="1" spans="1:5">
      <c r="A113" s="54" t="s">
        <v>46</v>
      </c>
      <c r="B113" s="55">
        <v>739852.58</v>
      </c>
      <c r="C113" s="56">
        <v>724068.405458311</v>
      </c>
      <c r="D113" s="56">
        <f t="shared" si="9"/>
        <v>15784.174541689</v>
      </c>
      <c r="E113" s="56">
        <f t="shared" si="8"/>
        <v>15784.174541689</v>
      </c>
    </row>
    <row r="114" customFormat="1" spans="1:5">
      <c r="A114" s="54" t="s">
        <v>68</v>
      </c>
      <c r="B114" s="55">
        <v>781955.52</v>
      </c>
      <c r="C114" s="56">
        <v>766283.952859541</v>
      </c>
      <c r="D114" s="56">
        <f t="shared" si="9"/>
        <v>15671.567140459</v>
      </c>
      <c r="E114" s="56">
        <f t="shared" si="8"/>
        <v>15671.567140459</v>
      </c>
    </row>
    <row r="115" customFormat="1" spans="1:5">
      <c r="A115" s="54" t="s">
        <v>76</v>
      </c>
      <c r="B115" s="55">
        <v>810446.53</v>
      </c>
      <c r="C115" s="56">
        <v>795215.181187946</v>
      </c>
      <c r="D115" s="56">
        <f t="shared" si="9"/>
        <v>15231.348812054</v>
      </c>
      <c r="E115" s="56">
        <f t="shared" si="8"/>
        <v>15231.348812054</v>
      </c>
    </row>
    <row r="116" customFormat="1" spans="1:5">
      <c r="A116" s="54" t="s">
        <v>35</v>
      </c>
      <c r="B116" s="55">
        <v>585365.73</v>
      </c>
      <c r="C116" s="56">
        <v>570261.750266057</v>
      </c>
      <c r="D116" s="56">
        <f t="shared" si="9"/>
        <v>15103.979733943</v>
      </c>
      <c r="E116" s="56">
        <f t="shared" si="8"/>
        <v>15103.979733943</v>
      </c>
    </row>
    <row r="117" customFormat="1" spans="1:5">
      <c r="A117" s="54" t="s">
        <v>86</v>
      </c>
      <c r="B117" s="55">
        <v>606783.67</v>
      </c>
      <c r="C117" s="56">
        <v>592119.556741395</v>
      </c>
      <c r="D117" s="56">
        <f t="shared" si="9"/>
        <v>14664.113258605</v>
      </c>
      <c r="E117" s="56">
        <f t="shared" si="8"/>
        <v>14664.113258605</v>
      </c>
    </row>
    <row r="118" customFormat="1" spans="1:5">
      <c r="A118" s="54" t="s">
        <v>89</v>
      </c>
      <c r="B118" s="55">
        <v>636613.23</v>
      </c>
      <c r="C118" s="56">
        <v>621973.004785588</v>
      </c>
      <c r="D118" s="56">
        <f t="shared" si="9"/>
        <v>14640.225214412</v>
      </c>
      <c r="E118" s="56">
        <f t="shared" si="8"/>
        <v>14640.225214412</v>
      </c>
    </row>
    <row r="119" customFormat="1" spans="1:5">
      <c r="A119" s="54" t="s">
        <v>79</v>
      </c>
      <c r="B119" s="55">
        <v>712219.81</v>
      </c>
      <c r="C119" s="56">
        <v>697927.155588932</v>
      </c>
      <c r="D119" s="56">
        <f t="shared" si="9"/>
        <v>14292.6544110681</v>
      </c>
      <c r="E119" s="56">
        <f t="shared" si="8"/>
        <v>14292.6544110681</v>
      </c>
    </row>
    <row r="120" customFormat="1" spans="1:5">
      <c r="A120" s="54" t="s">
        <v>34</v>
      </c>
      <c r="B120" s="55">
        <v>532644.46</v>
      </c>
      <c r="C120" s="56">
        <v>518996.662229245</v>
      </c>
      <c r="D120" s="56">
        <f t="shared" si="9"/>
        <v>13647.797770755</v>
      </c>
      <c r="E120" s="56">
        <f t="shared" si="8"/>
        <v>13647.797770755</v>
      </c>
    </row>
    <row r="121" customFormat="1" spans="1:5">
      <c r="A121" s="54" t="s">
        <v>78</v>
      </c>
      <c r="B121" s="55">
        <v>674289.1</v>
      </c>
      <c r="C121" s="56">
        <v>661095.303887956</v>
      </c>
      <c r="D121" s="56">
        <f t="shared" si="9"/>
        <v>13193.796112044</v>
      </c>
      <c r="E121" s="56">
        <f t="shared" si="8"/>
        <v>13193.796112044</v>
      </c>
    </row>
    <row r="122" customFormat="1" spans="1:5">
      <c r="A122" s="54" t="s">
        <v>34</v>
      </c>
      <c r="B122" s="55">
        <v>605178</v>
      </c>
      <c r="C122" s="56">
        <v>592059.768102704</v>
      </c>
      <c r="D122" s="56">
        <f t="shared" si="9"/>
        <v>13118.231897296</v>
      </c>
      <c r="E122" s="56">
        <f t="shared" si="8"/>
        <v>13118.231897296</v>
      </c>
    </row>
    <row r="123" customFormat="1" spans="1:5">
      <c r="A123" s="54" t="s">
        <v>45</v>
      </c>
      <c r="B123" s="55">
        <v>574436.29</v>
      </c>
      <c r="C123" s="56">
        <v>561653.086006855</v>
      </c>
      <c r="D123" s="56">
        <f t="shared" si="9"/>
        <v>12783.203993145</v>
      </c>
      <c r="E123" s="56">
        <f t="shared" ref="E123:E157" si="10">ABS(D123)</f>
        <v>12783.203993145</v>
      </c>
    </row>
    <row r="124" customFormat="1" spans="1:5">
      <c r="A124" s="54" t="s">
        <v>59</v>
      </c>
      <c r="B124" s="55">
        <v>695098.51</v>
      </c>
      <c r="C124" s="56">
        <v>682464.166853705</v>
      </c>
      <c r="D124" s="56">
        <f t="shared" si="9"/>
        <v>12634.3431462951</v>
      </c>
      <c r="E124" s="56">
        <f t="shared" si="10"/>
        <v>12634.3431462951</v>
      </c>
    </row>
    <row r="125" customFormat="1" spans="1:5">
      <c r="A125" s="54" t="s">
        <v>101</v>
      </c>
      <c r="B125" s="55">
        <v>771129.07</v>
      </c>
      <c r="C125" s="56">
        <v>758613.384786704</v>
      </c>
      <c r="D125" s="56">
        <f t="shared" si="9"/>
        <v>12515.685213296</v>
      </c>
      <c r="E125" s="56">
        <f t="shared" si="10"/>
        <v>12515.685213296</v>
      </c>
    </row>
    <row r="126" customFormat="1" spans="1:5">
      <c r="A126" s="54" t="s">
        <v>41</v>
      </c>
      <c r="B126" s="55">
        <v>605023.87</v>
      </c>
      <c r="C126" s="56">
        <v>592605.353247248</v>
      </c>
      <c r="D126" s="56">
        <f t="shared" si="9"/>
        <v>12418.516752752</v>
      </c>
      <c r="E126" s="56">
        <f t="shared" si="10"/>
        <v>12418.516752752</v>
      </c>
    </row>
    <row r="127" customFormat="1" spans="1:5">
      <c r="A127" s="54" t="s">
        <v>85</v>
      </c>
      <c r="B127" s="55">
        <v>750471.34</v>
      </c>
      <c r="C127" s="56">
        <v>738373.560146925</v>
      </c>
      <c r="D127" s="56">
        <f t="shared" ref="D127:D140" si="11">B127-C127</f>
        <v>12097.7798530749</v>
      </c>
      <c r="E127" s="56">
        <f t="shared" si="10"/>
        <v>12097.7798530749</v>
      </c>
    </row>
    <row r="128" customFormat="1" spans="1:5">
      <c r="A128" s="54" t="s">
        <v>103</v>
      </c>
      <c r="B128" s="55">
        <v>726776.22</v>
      </c>
      <c r="C128" s="56">
        <v>715657.575525724</v>
      </c>
      <c r="D128" s="56">
        <f t="shared" si="11"/>
        <v>11118.644474276</v>
      </c>
      <c r="E128" s="56">
        <f t="shared" si="10"/>
        <v>11118.644474276</v>
      </c>
    </row>
    <row r="129" customFormat="1" spans="1:5">
      <c r="A129" s="54" t="s">
        <v>48</v>
      </c>
      <c r="B129" s="55">
        <v>675177.68</v>
      </c>
      <c r="C129" s="56">
        <v>664343.50836639</v>
      </c>
      <c r="D129" s="56">
        <f t="shared" si="11"/>
        <v>10834.17163361</v>
      </c>
      <c r="E129" s="56">
        <f t="shared" si="10"/>
        <v>10834.17163361</v>
      </c>
    </row>
    <row r="130" customFormat="1" spans="1:5">
      <c r="A130" s="54" t="s">
        <v>88</v>
      </c>
      <c r="B130" s="55">
        <v>697888.09</v>
      </c>
      <c r="C130" s="56">
        <v>687309.811845531</v>
      </c>
      <c r="D130" s="56">
        <f t="shared" si="11"/>
        <v>10578.278154469</v>
      </c>
      <c r="E130" s="56">
        <f t="shared" si="10"/>
        <v>10578.278154469</v>
      </c>
    </row>
    <row r="131" customFormat="1" spans="1:5">
      <c r="A131" s="54" t="s">
        <v>82</v>
      </c>
      <c r="B131" s="55">
        <v>670629.48</v>
      </c>
      <c r="C131" s="56">
        <v>660587.645632694</v>
      </c>
      <c r="D131" s="56">
        <f t="shared" si="11"/>
        <v>10041.834367306</v>
      </c>
      <c r="E131" s="56">
        <f t="shared" si="10"/>
        <v>10041.834367306</v>
      </c>
    </row>
    <row r="132" customFormat="1" spans="1:5">
      <c r="A132" s="54" t="s">
        <v>60</v>
      </c>
      <c r="B132" s="55">
        <v>570964.84</v>
      </c>
      <c r="C132" s="56">
        <v>560978.792702092</v>
      </c>
      <c r="D132" s="56">
        <f t="shared" si="11"/>
        <v>9986.04729790799</v>
      </c>
      <c r="E132" s="56">
        <f t="shared" si="10"/>
        <v>9986.04729790799</v>
      </c>
    </row>
    <row r="133" customFormat="1" spans="1:5">
      <c r="A133" s="54" t="s">
        <v>69</v>
      </c>
      <c r="B133" s="55">
        <v>855341.28</v>
      </c>
      <c r="C133" s="56">
        <v>845504.41058044</v>
      </c>
      <c r="D133" s="56">
        <f t="shared" si="11"/>
        <v>9836.86941956007</v>
      </c>
      <c r="E133" s="56">
        <f t="shared" si="10"/>
        <v>9836.86941956007</v>
      </c>
    </row>
    <row r="134" customFormat="1" spans="1:5">
      <c r="A134" s="54" t="s">
        <v>61</v>
      </c>
      <c r="B134" s="55">
        <v>725847.99</v>
      </c>
      <c r="C134" s="56">
        <v>716670.516664881</v>
      </c>
      <c r="D134" s="56">
        <f t="shared" si="11"/>
        <v>9177.47333511896</v>
      </c>
      <c r="E134" s="56">
        <f t="shared" si="10"/>
        <v>9177.47333511896</v>
      </c>
    </row>
    <row r="135" customFormat="1" spans="1:5">
      <c r="A135" s="54" t="s">
        <v>95</v>
      </c>
      <c r="B135" s="55">
        <v>609949</v>
      </c>
      <c r="C135" s="56">
        <v>600865.667801801</v>
      </c>
      <c r="D135" s="56">
        <f t="shared" si="11"/>
        <v>9083.332198199</v>
      </c>
      <c r="E135" s="56">
        <f t="shared" si="10"/>
        <v>9083.332198199</v>
      </c>
    </row>
    <row r="136" customFormat="1" spans="1:5">
      <c r="A136" s="54" t="s">
        <v>24</v>
      </c>
      <c r="B136" s="55">
        <v>746501.09</v>
      </c>
      <c r="C136" s="56">
        <v>738105.500654752</v>
      </c>
      <c r="D136" s="56">
        <f t="shared" si="11"/>
        <v>8395.58934524795</v>
      </c>
      <c r="E136" s="56">
        <f t="shared" si="10"/>
        <v>8395.58934524795</v>
      </c>
    </row>
    <row r="137" customFormat="1" spans="1:5">
      <c r="A137" s="54" t="s">
        <v>70</v>
      </c>
      <c r="B137" s="55">
        <v>712546.38</v>
      </c>
      <c r="C137" s="56">
        <v>704572.307434564</v>
      </c>
      <c r="D137" s="56">
        <f t="shared" si="11"/>
        <v>7974.07256543601</v>
      </c>
      <c r="E137" s="56">
        <f t="shared" si="10"/>
        <v>7974.07256543601</v>
      </c>
    </row>
    <row r="138" customFormat="1" spans="1:5">
      <c r="A138" s="54" t="s">
        <v>96</v>
      </c>
      <c r="B138" s="55">
        <v>702068.92</v>
      </c>
      <c r="C138" s="56">
        <v>694107.475728159</v>
      </c>
      <c r="D138" s="56">
        <f t="shared" si="11"/>
        <v>7961.44427184109</v>
      </c>
      <c r="E138" s="56">
        <f t="shared" si="10"/>
        <v>7961.44427184109</v>
      </c>
    </row>
    <row r="139" customFormat="1" spans="1:5">
      <c r="A139" s="54" t="s">
        <v>51</v>
      </c>
      <c r="B139" s="55">
        <v>664162.49</v>
      </c>
      <c r="C139" s="56">
        <v>656267.368673493</v>
      </c>
      <c r="D139" s="56">
        <f t="shared" si="11"/>
        <v>7895.12132650695</v>
      </c>
      <c r="E139" s="56">
        <f t="shared" si="10"/>
        <v>7895.12132650695</v>
      </c>
    </row>
    <row r="140" customFormat="1" spans="1:5">
      <c r="A140" s="54" t="s">
        <v>66</v>
      </c>
      <c r="B140" s="55">
        <v>679731.57</v>
      </c>
      <c r="C140" s="56">
        <v>671930.054836827</v>
      </c>
      <c r="D140" s="56">
        <f t="shared" si="11"/>
        <v>7801.51516317297</v>
      </c>
      <c r="E140" s="56">
        <f t="shared" si="10"/>
        <v>7801.51516317297</v>
      </c>
    </row>
    <row r="141" customFormat="1" spans="1:5">
      <c r="A141" s="54" t="s">
        <v>84</v>
      </c>
      <c r="B141" s="55">
        <v>676337.41</v>
      </c>
      <c r="C141" s="56">
        <v>668608.513200748</v>
      </c>
      <c r="D141" s="56">
        <f t="shared" ref="D141:D151" si="12">B141-C141</f>
        <v>7728.89679925202</v>
      </c>
      <c r="E141" s="56">
        <f t="shared" si="10"/>
        <v>7728.89679925202</v>
      </c>
    </row>
    <row r="142" customFormat="1" spans="1:5">
      <c r="A142" s="54" t="s">
        <v>44</v>
      </c>
      <c r="B142" s="55">
        <v>569100.78</v>
      </c>
      <c r="C142" s="56">
        <v>561989.877331833</v>
      </c>
      <c r="D142" s="56">
        <f t="shared" si="12"/>
        <v>7110.90266816702</v>
      </c>
      <c r="E142" s="56">
        <f t="shared" si="10"/>
        <v>7110.90266816702</v>
      </c>
    </row>
    <row r="143" customFormat="1" spans="1:5">
      <c r="A143" s="54" t="s">
        <v>27</v>
      </c>
      <c r="B143" s="55">
        <v>491905.13</v>
      </c>
      <c r="C143" s="56">
        <v>484847.76280343</v>
      </c>
      <c r="D143" s="56">
        <f t="shared" si="12"/>
        <v>7057.36719656998</v>
      </c>
      <c r="E143" s="56">
        <f t="shared" si="10"/>
        <v>7057.36719656998</v>
      </c>
    </row>
    <row r="144" customFormat="1" spans="1:5">
      <c r="A144" s="54" t="s">
        <v>53</v>
      </c>
      <c r="B144" s="55">
        <v>714942.43</v>
      </c>
      <c r="C144" s="56">
        <v>707909.315304029</v>
      </c>
      <c r="D144" s="56">
        <f t="shared" si="12"/>
        <v>7033.11469597102</v>
      </c>
      <c r="E144" s="56">
        <f t="shared" si="10"/>
        <v>7033.11469597102</v>
      </c>
    </row>
    <row r="145" customFormat="1" spans="1:5">
      <c r="A145" s="54" t="s">
        <v>32</v>
      </c>
      <c r="B145" s="55">
        <v>798952.17</v>
      </c>
      <c r="C145" s="56">
        <v>792230.944923075</v>
      </c>
      <c r="D145" s="56">
        <f t="shared" si="12"/>
        <v>6721.22507692501</v>
      </c>
      <c r="E145" s="56">
        <f t="shared" si="10"/>
        <v>6721.22507692501</v>
      </c>
    </row>
    <row r="146" customFormat="1" spans="1:5">
      <c r="A146" s="54" t="s">
        <v>34</v>
      </c>
      <c r="B146" s="55">
        <v>592195.85</v>
      </c>
      <c r="C146" s="56">
        <v>585563.896941288</v>
      </c>
      <c r="D146" s="56">
        <f t="shared" si="12"/>
        <v>6631.95305871195</v>
      </c>
      <c r="E146" s="56">
        <f t="shared" si="10"/>
        <v>6631.95305871195</v>
      </c>
    </row>
    <row r="147" customFormat="1" spans="1:5">
      <c r="A147" s="54" t="s">
        <v>36</v>
      </c>
      <c r="B147" s="55">
        <v>603297.57</v>
      </c>
      <c r="C147" s="56">
        <v>597548.625312317</v>
      </c>
      <c r="D147" s="56">
        <f t="shared" si="12"/>
        <v>5748.9446876829</v>
      </c>
      <c r="E147" s="56">
        <f t="shared" si="10"/>
        <v>5748.9446876829</v>
      </c>
    </row>
    <row r="148" customFormat="1" spans="1:5">
      <c r="A148" s="54" t="s">
        <v>69</v>
      </c>
      <c r="B148" s="55">
        <v>751393.88</v>
      </c>
      <c r="C148" s="56">
        <v>745737.144345264</v>
      </c>
      <c r="D148" s="56">
        <f t="shared" si="12"/>
        <v>5656.73565473605</v>
      </c>
      <c r="E148" s="56">
        <f t="shared" si="10"/>
        <v>5656.73565473605</v>
      </c>
    </row>
    <row r="149" customFormat="1" spans="1:5">
      <c r="A149" s="54" t="s">
        <v>72</v>
      </c>
      <c r="B149" s="55">
        <v>559422.02</v>
      </c>
      <c r="C149" s="56">
        <v>554036.187030152</v>
      </c>
      <c r="D149" s="56">
        <f t="shared" si="12"/>
        <v>5385.83296984807</v>
      </c>
      <c r="E149" s="56">
        <f t="shared" si="10"/>
        <v>5385.83296984807</v>
      </c>
    </row>
    <row r="150" customFormat="1" spans="1:5">
      <c r="A150" s="54" t="s">
        <v>60</v>
      </c>
      <c r="B150" s="55">
        <v>601568.87</v>
      </c>
      <c r="C150" s="56">
        <v>596207.139645434</v>
      </c>
      <c r="D150" s="56">
        <f t="shared" si="12"/>
        <v>5361.73035456601</v>
      </c>
      <c r="E150" s="56">
        <f t="shared" si="10"/>
        <v>5361.73035456601</v>
      </c>
    </row>
    <row r="151" customFormat="1" spans="1:5">
      <c r="A151" s="54" t="s">
        <v>80</v>
      </c>
      <c r="B151" s="55">
        <v>536545.49</v>
      </c>
      <c r="C151" s="56">
        <v>531295.112748151</v>
      </c>
      <c r="D151" s="56">
        <f t="shared" si="12"/>
        <v>5250.37725184904</v>
      </c>
      <c r="E151" s="56">
        <f t="shared" si="10"/>
        <v>5250.37725184904</v>
      </c>
    </row>
    <row r="152" customFormat="1" spans="1:5">
      <c r="A152" s="54" t="s">
        <v>84</v>
      </c>
      <c r="B152" s="55">
        <v>776992.93</v>
      </c>
      <c r="C152" s="56">
        <v>771936.497386755</v>
      </c>
      <c r="D152" s="56">
        <f t="shared" ref="D152:D160" si="13">B152-C152</f>
        <v>5056.4326132451</v>
      </c>
      <c r="E152" s="56">
        <f t="shared" si="10"/>
        <v>5056.4326132451</v>
      </c>
    </row>
    <row r="153" customFormat="1" spans="1:5">
      <c r="A153" s="54" t="s">
        <v>62</v>
      </c>
      <c r="B153" s="55">
        <v>702318.94</v>
      </c>
      <c r="C153" s="56">
        <v>697378.872914724</v>
      </c>
      <c r="D153" s="56">
        <f t="shared" si="13"/>
        <v>4940.06708527589</v>
      </c>
      <c r="E153" s="56">
        <f t="shared" si="10"/>
        <v>4940.06708527589</v>
      </c>
    </row>
    <row r="154" customFormat="1" spans="1:5">
      <c r="A154" s="54" t="s">
        <v>69</v>
      </c>
      <c r="B154" s="55">
        <v>761077.08</v>
      </c>
      <c r="C154" s="56">
        <v>756239.28412696</v>
      </c>
      <c r="D154" s="56">
        <f t="shared" si="13"/>
        <v>4837.79587303998</v>
      </c>
      <c r="E154" s="56">
        <f t="shared" si="10"/>
        <v>4837.79587303998</v>
      </c>
    </row>
    <row r="155" customFormat="1" spans="1:5">
      <c r="A155" s="54" t="s">
        <v>97</v>
      </c>
      <c r="B155" s="55">
        <v>533121.26</v>
      </c>
      <c r="C155" s="56">
        <v>528441.71158913</v>
      </c>
      <c r="D155" s="56">
        <f t="shared" si="13"/>
        <v>4679.54841087002</v>
      </c>
      <c r="E155" s="56">
        <f t="shared" si="10"/>
        <v>4679.54841087002</v>
      </c>
    </row>
    <row r="156" customFormat="1" spans="1:5">
      <c r="A156" s="54" t="s">
        <v>93</v>
      </c>
      <c r="B156" s="55">
        <v>756619.77</v>
      </c>
      <c r="C156" s="56">
        <v>752640.087392917</v>
      </c>
      <c r="D156" s="56">
        <f t="shared" si="13"/>
        <v>3979.682607083</v>
      </c>
      <c r="E156" s="56">
        <f t="shared" si="10"/>
        <v>3979.682607083</v>
      </c>
    </row>
    <row r="157" customFormat="1" spans="1:5">
      <c r="A157" s="54" t="s">
        <v>65</v>
      </c>
      <c r="B157" s="55">
        <v>820729.29</v>
      </c>
      <c r="C157" s="56">
        <v>816985.524019474</v>
      </c>
      <c r="D157" s="56">
        <f t="shared" si="13"/>
        <v>3743.76598052599</v>
      </c>
      <c r="E157" s="56">
        <f t="shared" si="10"/>
        <v>3743.76598052599</v>
      </c>
    </row>
    <row r="158" customFormat="1" spans="1:5">
      <c r="A158" s="54" t="s">
        <v>79</v>
      </c>
      <c r="B158" s="55">
        <v>672670.54</v>
      </c>
      <c r="C158" s="56">
        <v>669465.806484321</v>
      </c>
      <c r="D158" s="56">
        <f t="shared" si="13"/>
        <v>3204.73351567902</v>
      </c>
      <c r="E158" s="56">
        <f t="shared" ref="E158:E202" si="14">ABS(D158)</f>
        <v>3204.73351567902</v>
      </c>
    </row>
    <row r="159" customFormat="1" spans="1:5">
      <c r="A159" s="54" t="s">
        <v>95</v>
      </c>
      <c r="B159" s="55">
        <v>633009.53</v>
      </c>
      <c r="C159" s="56">
        <v>629909.532918039</v>
      </c>
      <c r="D159" s="56">
        <f t="shared" si="13"/>
        <v>3099.99708196102</v>
      </c>
      <c r="E159" s="56">
        <f t="shared" si="14"/>
        <v>3099.99708196102</v>
      </c>
    </row>
    <row r="160" customFormat="1" spans="1:5">
      <c r="A160" s="54" t="s">
        <v>89</v>
      </c>
      <c r="B160" s="55">
        <v>528852.62</v>
      </c>
      <c r="C160" s="56">
        <v>526106.788113068</v>
      </c>
      <c r="D160" s="56">
        <f t="shared" si="13"/>
        <v>2745.83188693202</v>
      </c>
      <c r="E160" s="56">
        <f t="shared" si="14"/>
        <v>2745.83188693202</v>
      </c>
    </row>
    <row r="161" customFormat="1" spans="1:5">
      <c r="A161" s="54" t="s">
        <v>56</v>
      </c>
      <c r="B161" s="55">
        <v>801830.35</v>
      </c>
      <c r="C161" s="56">
        <v>799874.599671888</v>
      </c>
      <c r="D161" s="56">
        <f t="shared" ref="D161:D170" si="15">B161-C161</f>
        <v>1955.75032811193</v>
      </c>
      <c r="E161" s="56">
        <f t="shared" si="14"/>
        <v>1955.75032811193</v>
      </c>
    </row>
    <row r="162" customFormat="1" spans="1:5">
      <c r="A162" s="54" t="s">
        <v>77</v>
      </c>
      <c r="B162" s="55">
        <v>752321.72</v>
      </c>
      <c r="C162" s="56">
        <v>750783.282814336</v>
      </c>
      <c r="D162" s="56">
        <f t="shared" si="15"/>
        <v>1538.43718566396</v>
      </c>
      <c r="E162" s="56">
        <f t="shared" si="14"/>
        <v>1538.43718566396</v>
      </c>
    </row>
    <row r="163" customFormat="1" spans="1:5">
      <c r="A163" s="54" t="s">
        <v>31</v>
      </c>
      <c r="B163" s="55">
        <v>500173.02</v>
      </c>
      <c r="C163" s="56">
        <v>499283.147069326</v>
      </c>
      <c r="D163" s="56">
        <f t="shared" si="15"/>
        <v>889.872930673999</v>
      </c>
      <c r="E163" s="56">
        <f t="shared" si="14"/>
        <v>889.872930673999</v>
      </c>
    </row>
    <row r="164" customFormat="1" spans="1:5">
      <c r="A164" s="54" t="s">
        <v>68</v>
      </c>
      <c r="B164" s="55">
        <v>887537.75</v>
      </c>
      <c r="C164" s="56">
        <v>886912.795481926</v>
      </c>
      <c r="D164" s="56">
        <f t="shared" si="15"/>
        <v>624.954518074053</v>
      </c>
      <c r="E164" s="56">
        <f t="shared" si="14"/>
        <v>624.954518074053</v>
      </c>
    </row>
    <row r="165" customFormat="1" spans="1:5">
      <c r="A165" s="54" t="s">
        <v>92</v>
      </c>
      <c r="B165" s="55">
        <v>645039.97</v>
      </c>
      <c r="C165" s="56">
        <v>644442.539226172</v>
      </c>
      <c r="D165" s="56">
        <f t="shared" si="15"/>
        <v>597.430773827946</v>
      </c>
      <c r="E165" s="56">
        <f t="shared" si="14"/>
        <v>597.430773827946</v>
      </c>
    </row>
    <row r="166" customFormat="1" spans="1:5">
      <c r="A166" s="54" t="s">
        <v>53</v>
      </c>
      <c r="B166" s="55">
        <v>735480.19</v>
      </c>
      <c r="C166" s="56">
        <v>735067.229302476</v>
      </c>
      <c r="D166" s="56">
        <f t="shared" si="15"/>
        <v>412.9606975239</v>
      </c>
      <c r="E166" s="56">
        <f t="shared" si="14"/>
        <v>412.9606975239</v>
      </c>
    </row>
    <row r="167" customFormat="1" spans="1:5">
      <c r="A167" s="54" t="s">
        <v>95</v>
      </c>
      <c r="B167" s="55">
        <v>636775.66</v>
      </c>
      <c r="C167" s="56">
        <v>637107.460309322</v>
      </c>
      <c r="D167" s="56">
        <f t="shared" si="15"/>
        <v>-331.80030932196</v>
      </c>
      <c r="E167" s="56">
        <f t="shared" si="14"/>
        <v>331.80030932196</v>
      </c>
    </row>
    <row r="168" customFormat="1" spans="1:5">
      <c r="A168" s="54" t="s">
        <v>40</v>
      </c>
      <c r="B168" s="55">
        <v>740496.65</v>
      </c>
      <c r="C168" s="56">
        <v>740957.543259412</v>
      </c>
      <c r="D168" s="56">
        <f t="shared" si="15"/>
        <v>-460.893259412027</v>
      </c>
      <c r="E168" s="56">
        <f t="shared" si="14"/>
        <v>460.893259412027</v>
      </c>
    </row>
    <row r="169" customFormat="1" spans="1:5">
      <c r="A169" s="54" t="s">
        <v>79</v>
      </c>
      <c r="B169" s="55">
        <v>732667.92</v>
      </c>
      <c r="C169" s="56">
        <v>733434.069563197</v>
      </c>
      <c r="D169" s="56">
        <f t="shared" si="15"/>
        <v>-766.14956319693</v>
      </c>
      <c r="E169" s="56">
        <f t="shared" si="14"/>
        <v>766.14956319693</v>
      </c>
    </row>
    <row r="170" customFormat="1" spans="1:5">
      <c r="A170" s="54" t="s">
        <v>86</v>
      </c>
      <c r="B170" s="55">
        <v>647953.78</v>
      </c>
      <c r="C170" s="56">
        <v>649128.470923733</v>
      </c>
      <c r="D170" s="56">
        <f t="shared" si="15"/>
        <v>-1174.69092373294</v>
      </c>
      <c r="E170" s="56">
        <f t="shared" si="14"/>
        <v>1174.69092373294</v>
      </c>
    </row>
    <row r="171" customFormat="1" spans="1:5">
      <c r="A171" s="54" t="s">
        <v>69</v>
      </c>
      <c r="B171" s="55">
        <v>819660.59</v>
      </c>
      <c r="C171" s="56">
        <v>821065.25440448</v>
      </c>
      <c r="D171" s="56">
        <f t="shared" ref="D171:D185" si="16">B171-C171</f>
        <v>-1404.66440448002</v>
      </c>
      <c r="E171" s="56">
        <f t="shared" si="14"/>
        <v>1404.66440448002</v>
      </c>
    </row>
    <row r="172" customFormat="1" spans="1:5">
      <c r="A172" s="54" t="s">
        <v>57</v>
      </c>
      <c r="B172" s="55">
        <v>593247.25</v>
      </c>
      <c r="C172" s="56">
        <v>595438.811138775</v>
      </c>
      <c r="D172" s="56">
        <f t="shared" si="16"/>
        <v>-2191.56113877497</v>
      </c>
      <c r="E172" s="56">
        <f t="shared" si="14"/>
        <v>2191.56113877497</v>
      </c>
    </row>
    <row r="173" customFormat="1" spans="1:5">
      <c r="A173" s="54" t="s">
        <v>97</v>
      </c>
      <c r="B173" s="55">
        <v>498970.32</v>
      </c>
      <c r="C173" s="56">
        <v>502170.291140372</v>
      </c>
      <c r="D173" s="56">
        <f t="shared" si="16"/>
        <v>-3199.97114037198</v>
      </c>
      <c r="E173" s="56">
        <f t="shared" si="14"/>
        <v>3199.97114037198</v>
      </c>
    </row>
    <row r="174" customFormat="1" spans="1:5">
      <c r="A174" s="54" t="s">
        <v>67</v>
      </c>
      <c r="B174" s="55">
        <v>804264</v>
      </c>
      <c r="C174" s="56">
        <v>807959.543874823</v>
      </c>
      <c r="D174" s="56">
        <f t="shared" si="16"/>
        <v>-3695.54387482302</v>
      </c>
      <c r="E174" s="56">
        <f t="shared" si="14"/>
        <v>3695.54387482302</v>
      </c>
    </row>
    <row r="175" customFormat="1" spans="1:5">
      <c r="A175" s="54" t="s">
        <v>76</v>
      </c>
      <c r="B175" s="55">
        <v>761963.23</v>
      </c>
      <c r="C175" s="56">
        <v>765887.330458121</v>
      </c>
      <c r="D175" s="56">
        <f t="shared" si="16"/>
        <v>-3924.10045812104</v>
      </c>
      <c r="E175" s="56">
        <f t="shared" si="14"/>
        <v>3924.10045812104</v>
      </c>
    </row>
    <row r="176" customFormat="1" spans="1:5">
      <c r="A176" s="54" t="s">
        <v>89</v>
      </c>
      <c r="B176" s="55">
        <v>605751.33</v>
      </c>
      <c r="C176" s="56">
        <v>610191.279425451</v>
      </c>
      <c r="D176" s="56">
        <f t="shared" si="16"/>
        <v>-4439.94942545099</v>
      </c>
      <c r="E176" s="56">
        <f t="shared" si="14"/>
        <v>4439.94942545099</v>
      </c>
    </row>
    <row r="177" customFormat="1" spans="1:5">
      <c r="A177" s="54" t="s">
        <v>47</v>
      </c>
      <c r="B177" s="55">
        <v>585937.48</v>
      </c>
      <c r="C177" s="56">
        <v>590454.415482783</v>
      </c>
      <c r="D177" s="56">
        <f t="shared" si="16"/>
        <v>-4516.93548278301</v>
      </c>
      <c r="E177" s="56">
        <f t="shared" si="14"/>
        <v>4516.93548278301</v>
      </c>
    </row>
    <row r="178" customFormat="1" spans="1:5">
      <c r="A178" s="54" t="s">
        <v>33</v>
      </c>
      <c r="B178" s="55">
        <v>828623.85</v>
      </c>
      <c r="C178" s="56">
        <v>833335.233004391</v>
      </c>
      <c r="D178" s="56">
        <f t="shared" si="16"/>
        <v>-4711.38300439098</v>
      </c>
      <c r="E178" s="56">
        <f t="shared" si="14"/>
        <v>4711.38300439098</v>
      </c>
    </row>
    <row r="179" customFormat="1" spans="1:5">
      <c r="A179" s="54" t="s">
        <v>95</v>
      </c>
      <c r="B179" s="55">
        <v>548103.7</v>
      </c>
      <c r="C179" s="56">
        <v>552971.215635989</v>
      </c>
      <c r="D179" s="56">
        <f t="shared" si="16"/>
        <v>-4867.51563598902</v>
      </c>
      <c r="E179" s="56">
        <f t="shared" si="14"/>
        <v>4867.51563598902</v>
      </c>
    </row>
    <row r="180" customFormat="1" spans="1:5">
      <c r="A180" s="54" t="s">
        <v>56</v>
      </c>
      <c r="B180" s="55">
        <v>811452.72</v>
      </c>
      <c r="C180" s="56">
        <v>816930.388943729</v>
      </c>
      <c r="D180" s="56">
        <f t="shared" si="16"/>
        <v>-5477.66894372902</v>
      </c>
      <c r="E180" s="56">
        <f t="shared" si="14"/>
        <v>5477.66894372902</v>
      </c>
    </row>
    <row r="181" customFormat="1" spans="1:5">
      <c r="A181" s="54" t="s">
        <v>61</v>
      </c>
      <c r="B181" s="55">
        <v>712868.35</v>
      </c>
      <c r="C181" s="56">
        <v>718348.796483063</v>
      </c>
      <c r="D181" s="56">
        <f t="shared" si="16"/>
        <v>-5480.44648306305</v>
      </c>
      <c r="E181" s="56">
        <f t="shared" si="14"/>
        <v>5480.44648306305</v>
      </c>
    </row>
    <row r="182" customFormat="1" spans="1:5">
      <c r="A182" s="54" t="s">
        <v>28</v>
      </c>
      <c r="B182" s="55">
        <v>701641.97</v>
      </c>
      <c r="C182" s="56">
        <v>707127.20262244</v>
      </c>
      <c r="D182" s="56">
        <f t="shared" si="16"/>
        <v>-5485.23262243997</v>
      </c>
      <c r="E182" s="56">
        <f t="shared" si="14"/>
        <v>5485.23262243997</v>
      </c>
    </row>
    <row r="183" customFormat="1" spans="1:5">
      <c r="A183" s="54" t="s">
        <v>94</v>
      </c>
      <c r="B183" s="55">
        <v>497439.82</v>
      </c>
      <c r="C183" s="56">
        <v>503755.353820995</v>
      </c>
      <c r="D183" s="56">
        <f t="shared" si="16"/>
        <v>-6315.53382099501</v>
      </c>
      <c r="E183" s="56">
        <f t="shared" si="14"/>
        <v>6315.53382099501</v>
      </c>
    </row>
    <row r="184" customFormat="1" spans="1:5">
      <c r="A184" s="54" t="s">
        <v>78</v>
      </c>
      <c r="B184" s="55">
        <v>606278.3</v>
      </c>
      <c r="C184" s="56">
        <v>612687.638002687</v>
      </c>
      <c r="D184" s="56">
        <f t="shared" si="16"/>
        <v>-6409.33800268697</v>
      </c>
      <c r="E184" s="56">
        <f t="shared" si="14"/>
        <v>6409.33800268697</v>
      </c>
    </row>
    <row r="185" customFormat="1" spans="1:5">
      <c r="A185" s="54" t="s">
        <v>67</v>
      </c>
      <c r="B185" s="55">
        <v>758138.29</v>
      </c>
      <c r="C185" s="56">
        <v>764780.871059733</v>
      </c>
      <c r="D185" s="56">
        <f t="shared" si="16"/>
        <v>-6642.58105973294</v>
      </c>
      <c r="E185" s="56">
        <f t="shared" si="14"/>
        <v>6642.58105973294</v>
      </c>
    </row>
    <row r="186" customFormat="1" spans="1:5">
      <c r="A186" s="54" t="s">
        <v>25</v>
      </c>
      <c r="B186" s="55">
        <v>591619.95</v>
      </c>
      <c r="C186" s="56">
        <v>598471.936780953</v>
      </c>
      <c r="D186" s="56">
        <f t="shared" ref="D186:D198" si="17">B186-C186</f>
        <v>-6851.98678095301</v>
      </c>
      <c r="E186" s="56">
        <f t="shared" si="14"/>
        <v>6851.98678095301</v>
      </c>
    </row>
    <row r="187" customFormat="1" spans="1:5">
      <c r="A187" s="54" t="s">
        <v>45</v>
      </c>
      <c r="B187" s="55">
        <v>614596.32</v>
      </c>
      <c r="C187" s="56">
        <v>621579.926081064</v>
      </c>
      <c r="D187" s="56">
        <f t="shared" si="17"/>
        <v>-6983.60608106409</v>
      </c>
      <c r="E187" s="56">
        <f t="shared" si="14"/>
        <v>6983.60608106409</v>
      </c>
    </row>
    <row r="188" customFormat="1" spans="1:5">
      <c r="A188" s="54" t="s">
        <v>72</v>
      </c>
      <c r="B188" s="55">
        <v>611924.27</v>
      </c>
      <c r="C188" s="56">
        <v>618917.812998936</v>
      </c>
      <c r="D188" s="56">
        <f t="shared" si="17"/>
        <v>-6993.54299893603</v>
      </c>
      <c r="E188" s="56">
        <f t="shared" si="14"/>
        <v>6993.54299893603</v>
      </c>
    </row>
    <row r="189" customFormat="1" spans="1:5">
      <c r="A189" s="54" t="s">
        <v>55</v>
      </c>
      <c r="B189" s="55">
        <v>697155.3</v>
      </c>
      <c r="C189" s="56">
        <v>704251.264359458</v>
      </c>
      <c r="D189" s="56">
        <f t="shared" si="17"/>
        <v>-7095.96435945795</v>
      </c>
      <c r="E189" s="56">
        <f t="shared" si="14"/>
        <v>7095.96435945795</v>
      </c>
    </row>
    <row r="190" customFormat="1" spans="1:5">
      <c r="A190" s="54" t="s">
        <v>85</v>
      </c>
      <c r="B190" s="55">
        <v>679888.74</v>
      </c>
      <c r="C190" s="56">
        <v>687543.550911572</v>
      </c>
      <c r="D190" s="56">
        <f t="shared" si="17"/>
        <v>-7654.81091157196</v>
      </c>
      <c r="E190" s="56">
        <f t="shared" si="14"/>
        <v>7654.81091157196</v>
      </c>
    </row>
    <row r="191" customFormat="1" spans="1:5">
      <c r="A191" s="54" t="s">
        <v>50</v>
      </c>
      <c r="B191" s="55">
        <v>665594.94</v>
      </c>
      <c r="C191" s="56">
        <v>673440.269966429</v>
      </c>
      <c r="D191" s="56">
        <f t="shared" si="17"/>
        <v>-7845.32996642904</v>
      </c>
      <c r="E191" s="56">
        <f t="shared" si="14"/>
        <v>7845.32996642904</v>
      </c>
    </row>
    <row r="192" customFormat="1" spans="1:5">
      <c r="A192" s="54" t="s">
        <v>83</v>
      </c>
      <c r="B192" s="55">
        <v>737070.18</v>
      </c>
      <c r="C192" s="56">
        <v>744995.166161995</v>
      </c>
      <c r="D192" s="56">
        <f t="shared" si="17"/>
        <v>-7924.98616199498</v>
      </c>
      <c r="E192" s="56">
        <f t="shared" si="14"/>
        <v>7924.98616199498</v>
      </c>
    </row>
    <row r="193" customFormat="1" spans="1:5">
      <c r="A193" s="54" t="s">
        <v>76</v>
      </c>
      <c r="B193" s="55">
        <v>946833.54</v>
      </c>
      <c r="C193" s="56">
        <v>954975.717395362</v>
      </c>
      <c r="D193" s="56">
        <f t="shared" si="17"/>
        <v>-8142.17739536194</v>
      </c>
      <c r="E193" s="56">
        <f t="shared" si="14"/>
        <v>8142.17739536194</v>
      </c>
    </row>
    <row r="194" customFormat="1" spans="1:5">
      <c r="A194" s="54" t="s">
        <v>38</v>
      </c>
      <c r="B194" s="55">
        <v>518049.26</v>
      </c>
      <c r="C194" s="56">
        <v>526656.075512172</v>
      </c>
      <c r="D194" s="56">
        <f t="shared" si="17"/>
        <v>-8606.81551217195</v>
      </c>
      <c r="E194" s="56">
        <f t="shared" si="14"/>
        <v>8606.81551217195</v>
      </c>
    </row>
    <row r="195" customFormat="1" spans="1:5">
      <c r="A195" s="54" t="s">
        <v>45</v>
      </c>
      <c r="B195" s="55">
        <v>450711.92</v>
      </c>
      <c r="C195" s="56">
        <v>459370.566016526</v>
      </c>
      <c r="D195" s="56">
        <f t="shared" si="17"/>
        <v>-8658.64601652604</v>
      </c>
      <c r="E195" s="56">
        <f t="shared" si="14"/>
        <v>8658.64601652604</v>
      </c>
    </row>
    <row r="196" customFormat="1" spans="1:5">
      <c r="A196" s="54" t="s">
        <v>99</v>
      </c>
      <c r="B196" s="55">
        <v>724346.73</v>
      </c>
      <c r="C196" s="56">
        <v>733217.417834886</v>
      </c>
      <c r="D196" s="56">
        <f t="shared" si="17"/>
        <v>-8870.68783488602</v>
      </c>
      <c r="E196" s="56">
        <f t="shared" si="14"/>
        <v>8870.68783488602</v>
      </c>
    </row>
    <row r="197" customFormat="1" spans="1:5">
      <c r="A197" s="54" t="s">
        <v>47</v>
      </c>
      <c r="B197" s="55">
        <v>607898.12</v>
      </c>
      <c r="C197" s="56">
        <v>616777.537821821</v>
      </c>
      <c r="D197" s="56">
        <f t="shared" si="17"/>
        <v>-8879.41782182106</v>
      </c>
      <c r="E197" s="56">
        <f t="shared" si="14"/>
        <v>8879.41782182106</v>
      </c>
    </row>
    <row r="198" customFormat="1" spans="1:5">
      <c r="A198" s="54" t="s">
        <v>86</v>
      </c>
      <c r="B198" s="55">
        <v>642751.42</v>
      </c>
      <c r="C198" s="56">
        <v>651806.440138835</v>
      </c>
      <c r="D198" s="56">
        <f t="shared" si="17"/>
        <v>-9055.02013883495</v>
      </c>
      <c r="E198" s="56">
        <f t="shared" si="14"/>
        <v>9055.02013883495</v>
      </c>
    </row>
    <row r="199" customFormat="1" spans="1:5">
      <c r="A199" s="54" t="s">
        <v>88</v>
      </c>
      <c r="B199" s="55">
        <v>746115.59</v>
      </c>
      <c r="C199" s="56">
        <v>755857.33281416</v>
      </c>
      <c r="D199" s="56">
        <f t="shared" ref="D199:D210" si="18">B199-C199</f>
        <v>-9741.74281416007</v>
      </c>
      <c r="E199" s="56">
        <f t="shared" si="14"/>
        <v>9741.74281416007</v>
      </c>
    </row>
    <row r="200" customFormat="1" spans="1:5">
      <c r="A200" s="54" t="s">
        <v>64</v>
      </c>
      <c r="B200" s="55">
        <v>692008.64</v>
      </c>
      <c r="C200" s="56">
        <v>701846.972809282</v>
      </c>
      <c r="D200" s="56">
        <f t="shared" si="18"/>
        <v>-9838.332809282</v>
      </c>
      <c r="E200" s="56">
        <f t="shared" si="14"/>
        <v>9838.332809282</v>
      </c>
    </row>
    <row r="201" customFormat="1" spans="1:5">
      <c r="A201" s="54" t="s">
        <v>91</v>
      </c>
      <c r="B201" s="55">
        <v>799756.46</v>
      </c>
      <c r="C201" s="56">
        <v>809818.689451691</v>
      </c>
      <c r="D201" s="56">
        <f t="shared" si="18"/>
        <v>-10062.229451691</v>
      </c>
      <c r="E201" s="56">
        <f t="shared" si="14"/>
        <v>10062.229451691</v>
      </c>
    </row>
    <row r="202" customFormat="1" spans="1:5">
      <c r="A202" s="54" t="s">
        <v>99</v>
      </c>
      <c r="B202" s="55">
        <v>730890.01</v>
      </c>
      <c r="C202" s="56">
        <v>741267.242214251</v>
      </c>
      <c r="D202" s="56">
        <f t="shared" si="18"/>
        <v>-10377.232214251</v>
      </c>
      <c r="E202" s="56">
        <f t="shared" si="14"/>
        <v>10377.232214251</v>
      </c>
    </row>
    <row r="203" customFormat="1" spans="1:5">
      <c r="A203" s="54" t="s">
        <v>62</v>
      </c>
      <c r="B203" s="55">
        <v>785028.25</v>
      </c>
      <c r="C203" s="56">
        <v>795612.668100265</v>
      </c>
      <c r="D203" s="56">
        <f t="shared" si="18"/>
        <v>-10584.418100265</v>
      </c>
      <c r="E203" s="56">
        <f t="shared" ref="E203:E217" si="19">ABS(D203)</f>
        <v>10584.418100265</v>
      </c>
    </row>
    <row r="204" customFormat="1" spans="1:5">
      <c r="A204" s="54" t="s">
        <v>84</v>
      </c>
      <c r="B204" s="55">
        <v>828219.67</v>
      </c>
      <c r="C204" s="56">
        <v>839067.114569376</v>
      </c>
      <c r="D204" s="56">
        <f t="shared" si="18"/>
        <v>-10847.4445693759</v>
      </c>
      <c r="E204" s="56">
        <f t="shared" si="19"/>
        <v>10847.4445693759</v>
      </c>
    </row>
    <row r="205" customFormat="1" spans="1:5">
      <c r="A205" s="54" t="s">
        <v>50</v>
      </c>
      <c r="B205" s="55">
        <v>783797.89</v>
      </c>
      <c r="C205" s="56">
        <v>794770.340142189</v>
      </c>
      <c r="D205" s="56">
        <f t="shared" si="18"/>
        <v>-10972.4501421889</v>
      </c>
      <c r="E205" s="56">
        <f t="shared" si="19"/>
        <v>10972.4501421889</v>
      </c>
    </row>
    <row r="206" customFormat="1" spans="1:5">
      <c r="A206" s="54" t="s">
        <v>98</v>
      </c>
      <c r="B206" s="55">
        <v>668459.37</v>
      </c>
      <c r="C206" s="56">
        <v>679682.92356734</v>
      </c>
      <c r="D206" s="56">
        <f t="shared" si="18"/>
        <v>-11223.55356734</v>
      </c>
      <c r="E206" s="56">
        <f t="shared" si="19"/>
        <v>11223.55356734</v>
      </c>
    </row>
    <row r="207" customFormat="1" spans="1:5">
      <c r="A207" s="54" t="s">
        <v>93</v>
      </c>
      <c r="B207" s="55">
        <v>761122.42</v>
      </c>
      <c r="C207" s="56">
        <v>772598.105683157</v>
      </c>
      <c r="D207" s="56">
        <f t="shared" si="18"/>
        <v>-11475.6856831569</v>
      </c>
      <c r="E207" s="56">
        <f t="shared" si="19"/>
        <v>11475.6856831569</v>
      </c>
    </row>
    <row r="208" customFormat="1" spans="1:5">
      <c r="A208" s="54" t="s">
        <v>66</v>
      </c>
      <c r="B208" s="55">
        <v>739831.73</v>
      </c>
      <c r="C208" s="56">
        <v>751844.768399937</v>
      </c>
      <c r="D208" s="56">
        <f t="shared" si="18"/>
        <v>-12013.038399937</v>
      </c>
      <c r="E208" s="56">
        <f t="shared" si="19"/>
        <v>12013.038399937</v>
      </c>
    </row>
    <row r="209" customFormat="1" spans="1:5">
      <c r="A209" s="54" t="s">
        <v>90</v>
      </c>
      <c r="B209" s="55">
        <v>708985.19</v>
      </c>
      <c r="C209" s="56">
        <v>721114.792238954</v>
      </c>
      <c r="D209" s="56">
        <f t="shared" si="18"/>
        <v>-12129.602238954</v>
      </c>
      <c r="E209" s="56">
        <f t="shared" si="19"/>
        <v>12129.602238954</v>
      </c>
    </row>
    <row r="210" customFormat="1" spans="1:5">
      <c r="A210" s="54" t="s">
        <v>65</v>
      </c>
      <c r="B210" s="55">
        <v>665534.7</v>
      </c>
      <c r="C210" s="56">
        <v>678363.528452756</v>
      </c>
      <c r="D210" s="56">
        <f t="shared" si="18"/>
        <v>-12828.828452756</v>
      </c>
      <c r="E210" s="56">
        <f t="shared" si="19"/>
        <v>12828.828452756</v>
      </c>
    </row>
    <row r="211" customFormat="1" spans="1:5">
      <c r="A211" s="54" t="s">
        <v>71</v>
      </c>
      <c r="B211" s="55">
        <v>443275.59</v>
      </c>
      <c r="C211" s="56">
        <v>456129.359014795</v>
      </c>
      <c r="D211" s="56">
        <f t="shared" ref="D211:D221" si="20">B211-C211</f>
        <v>-12853.769014795</v>
      </c>
      <c r="E211" s="56">
        <f t="shared" si="19"/>
        <v>12853.769014795</v>
      </c>
    </row>
    <row r="212" customFormat="1" spans="1:5">
      <c r="A212" s="54" t="s">
        <v>63</v>
      </c>
      <c r="B212" s="55">
        <v>700078.32</v>
      </c>
      <c r="C212" s="56">
        <v>713062.260706991</v>
      </c>
      <c r="D212" s="56">
        <f t="shared" si="20"/>
        <v>-12983.940706991</v>
      </c>
      <c r="E212" s="56">
        <f t="shared" si="19"/>
        <v>12983.940706991</v>
      </c>
    </row>
    <row r="213" customFormat="1" spans="1:5">
      <c r="A213" s="54" t="s">
        <v>25</v>
      </c>
      <c r="B213" s="55">
        <v>666152.52</v>
      </c>
      <c r="C213" s="56">
        <v>679664.92024635</v>
      </c>
      <c r="D213" s="56">
        <f t="shared" si="20"/>
        <v>-13512.40024635</v>
      </c>
      <c r="E213" s="56">
        <f t="shared" si="19"/>
        <v>13512.40024635</v>
      </c>
    </row>
    <row r="214" customFormat="1" spans="1:5">
      <c r="A214" s="54" t="s">
        <v>57</v>
      </c>
      <c r="B214" s="55">
        <v>529075.95</v>
      </c>
      <c r="C214" s="56">
        <v>543712.519551596</v>
      </c>
      <c r="D214" s="56">
        <f t="shared" si="20"/>
        <v>-14636.5695515961</v>
      </c>
      <c r="E214" s="56">
        <f t="shared" si="19"/>
        <v>14636.5695515961</v>
      </c>
    </row>
    <row r="215" customFormat="1" spans="1:5">
      <c r="A215" s="54" t="s">
        <v>70</v>
      </c>
      <c r="B215" s="55">
        <v>681855.56</v>
      </c>
      <c r="C215" s="56">
        <v>696669.261605747</v>
      </c>
      <c r="D215" s="56">
        <f t="shared" si="20"/>
        <v>-14813.701605747</v>
      </c>
      <c r="E215" s="56">
        <f t="shared" si="19"/>
        <v>14813.701605747</v>
      </c>
    </row>
    <row r="216" customFormat="1" spans="1:5">
      <c r="A216" s="54" t="s">
        <v>19</v>
      </c>
      <c r="B216" s="55">
        <v>761835.34</v>
      </c>
      <c r="C216" s="56">
        <v>777257.366108356</v>
      </c>
      <c r="D216" s="56">
        <f t="shared" si="20"/>
        <v>-15422.0261083561</v>
      </c>
      <c r="E216" s="56">
        <f t="shared" si="19"/>
        <v>15422.0261083561</v>
      </c>
    </row>
    <row r="217" customFormat="1" spans="1:5">
      <c r="A217" s="54" t="s">
        <v>96</v>
      </c>
      <c r="B217" s="55">
        <v>696261.49</v>
      </c>
      <c r="C217" s="56">
        <v>712113.025242523</v>
      </c>
      <c r="D217" s="56">
        <f t="shared" si="20"/>
        <v>-15851.5352425231</v>
      </c>
      <c r="E217" s="56">
        <f t="shared" si="19"/>
        <v>15851.5352425231</v>
      </c>
    </row>
    <row r="218" customFormat="1" spans="1:5">
      <c r="A218" s="54" t="s">
        <v>33</v>
      </c>
      <c r="B218" s="55">
        <v>736633.4</v>
      </c>
      <c r="C218" s="56">
        <v>752505.695920603</v>
      </c>
      <c r="D218" s="56">
        <f t="shared" si="20"/>
        <v>-15872.295920603</v>
      </c>
      <c r="E218" s="56">
        <f t="shared" ref="E218:E235" si="21">ABS(D218)</f>
        <v>15872.295920603</v>
      </c>
    </row>
    <row r="219" customFormat="1" spans="1:5">
      <c r="A219" s="54" t="s">
        <v>48</v>
      </c>
      <c r="B219" s="55">
        <v>605775.33</v>
      </c>
      <c r="C219" s="56">
        <v>621799.990608004</v>
      </c>
      <c r="D219" s="56">
        <f t="shared" si="20"/>
        <v>-16024.6606080041</v>
      </c>
      <c r="E219" s="56">
        <f t="shared" si="21"/>
        <v>16024.6606080041</v>
      </c>
    </row>
    <row r="220" customFormat="1" spans="1:5">
      <c r="A220" s="54" t="s">
        <v>84</v>
      </c>
      <c r="B220" s="55">
        <v>763159.92</v>
      </c>
      <c r="C220" s="56">
        <v>779203.700571095</v>
      </c>
      <c r="D220" s="56">
        <f t="shared" si="20"/>
        <v>-16043.7805710949</v>
      </c>
      <c r="E220" s="56">
        <f t="shared" si="21"/>
        <v>16043.7805710949</v>
      </c>
    </row>
    <row r="221" customFormat="1" spans="1:5">
      <c r="A221" s="54" t="s">
        <v>75</v>
      </c>
      <c r="B221" s="55">
        <v>825060.52</v>
      </c>
      <c r="C221" s="56">
        <v>841179.019233304</v>
      </c>
      <c r="D221" s="56">
        <f t="shared" si="20"/>
        <v>-16118.4992333039</v>
      </c>
      <c r="E221" s="56">
        <f t="shared" si="21"/>
        <v>16118.4992333039</v>
      </c>
    </row>
    <row r="222" customFormat="1" spans="1:5">
      <c r="A222" s="54" t="s">
        <v>25</v>
      </c>
      <c r="B222" s="55">
        <v>666573.2</v>
      </c>
      <c r="C222" s="56">
        <v>682866.70200388</v>
      </c>
      <c r="D222" s="56">
        <f t="shared" ref="D222:D233" si="22">B222-C222</f>
        <v>-16293.5020038801</v>
      </c>
      <c r="E222" s="56">
        <f t="shared" si="21"/>
        <v>16293.5020038801</v>
      </c>
    </row>
    <row r="223" customFormat="1" spans="1:5">
      <c r="A223" s="54" t="s">
        <v>55</v>
      </c>
      <c r="B223" s="55">
        <v>842439.67</v>
      </c>
      <c r="C223" s="56">
        <v>858892.031667625</v>
      </c>
      <c r="D223" s="56">
        <f t="shared" si="22"/>
        <v>-16452.3616676249</v>
      </c>
      <c r="E223" s="56">
        <f t="shared" si="21"/>
        <v>16452.3616676249</v>
      </c>
    </row>
    <row r="224" customFormat="1" spans="1:5">
      <c r="A224" s="54" t="s">
        <v>78</v>
      </c>
      <c r="B224" s="55">
        <v>622892.42</v>
      </c>
      <c r="C224" s="56">
        <v>640164.92926967</v>
      </c>
      <c r="D224" s="56">
        <f t="shared" si="22"/>
        <v>-17272.50926967</v>
      </c>
      <c r="E224" s="56">
        <f t="shared" si="21"/>
        <v>17272.50926967</v>
      </c>
    </row>
    <row r="225" customFormat="1" spans="1:5">
      <c r="A225" s="54" t="s">
        <v>73</v>
      </c>
      <c r="B225" s="55">
        <v>574066.61</v>
      </c>
      <c r="C225" s="56">
        <v>591423.976142653</v>
      </c>
      <c r="D225" s="56">
        <f t="shared" si="22"/>
        <v>-17357.366142653</v>
      </c>
      <c r="E225" s="56">
        <f t="shared" si="21"/>
        <v>17357.366142653</v>
      </c>
    </row>
    <row r="226" customFormat="1" spans="1:5">
      <c r="A226" s="54" t="s">
        <v>64</v>
      </c>
      <c r="B226" s="55">
        <v>677096.71</v>
      </c>
      <c r="C226" s="56">
        <v>694652.506071271</v>
      </c>
      <c r="D226" s="56">
        <f t="shared" si="22"/>
        <v>-17555.7960712711</v>
      </c>
      <c r="E226" s="56">
        <f t="shared" si="21"/>
        <v>17555.7960712711</v>
      </c>
    </row>
    <row r="227" customFormat="1" spans="1:5">
      <c r="A227" s="54" t="s">
        <v>51</v>
      </c>
      <c r="B227" s="55">
        <v>633494.21</v>
      </c>
      <c r="C227" s="56">
        <v>651057.668906413</v>
      </c>
      <c r="D227" s="56">
        <f t="shared" si="22"/>
        <v>-17563.4589064131</v>
      </c>
      <c r="E227" s="56">
        <f t="shared" si="21"/>
        <v>17563.4589064131</v>
      </c>
    </row>
    <row r="228" customFormat="1" spans="1:5">
      <c r="A228" s="54" t="s">
        <v>87</v>
      </c>
      <c r="B228" s="55">
        <v>764949</v>
      </c>
      <c r="C228" s="56">
        <v>782657.438276399</v>
      </c>
      <c r="D228" s="56">
        <f t="shared" si="22"/>
        <v>-17708.438276399</v>
      </c>
      <c r="E228" s="56">
        <f t="shared" si="21"/>
        <v>17708.438276399</v>
      </c>
    </row>
    <row r="229" customFormat="1" spans="1:5">
      <c r="A229" s="54" t="s">
        <v>67</v>
      </c>
      <c r="B229" s="55">
        <v>721364.11</v>
      </c>
      <c r="C229" s="56">
        <v>739178.850101971</v>
      </c>
      <c r="D229" s="56">
        <f t="shared" si="22"/>
        <v>-17814.740101971</v>
      </c>
      <c r="E229" s="56">
        <f t="shared" si="21"/>
        <v>17814.740101971</v>
      </c>
    </row>
    <row r="230" customFormat="1" spans="1:5">
      <c r="A230" s="54" t="s">
        <v>48</v>
      </c>
      <c r="B230" s="55">
        <v>691113.62</v>
      </c>
      <c r="C230" s="56">
        <v>709196.431344477</v>
      </c>
      <c r="D230" s="56">
        <f t="shared" si="22"/>
        <v>-18082.811344477</v>
      </c>
      <c r="E230" s="56">
        <f t="shared" si="21"/>
        <v>18082.811344477</v>
      </c>
    </row>
    <row r="231" customFormat="1" spans="1:5">
      <c r="A231" s="54" t="s">
        <v>60</v>
      </c>
      <c r="B231" s="55">
        <v>537058.33</v>
      </c>
      <c r="C231" s="56">
        <v>555821.845600823</v>
      </c>
      <c r="D231" s="56">
        <f t="shared" si="22"/>
        <v>-18763.5156008231</v>
      </c>
      <c r="E231" s="56">
        <f t="shared" si="21"/>
        <v>18763.5156008231</v>
      </c>
    </row>
    <row r="232" customFormat="1" spans="1:5">
      <c r="A232" s="54" t="s">
        <v>43</v>
      </c>
      <c r="B232" s="55">
        <v>643657.47</v>
      </c>
      <c r="C232" s="56">
        <v>662961.720305127</v>
      </c>
      <c r="D232" s="56">
        <f t="shared" si="22"/>
        <v>-19304.250305127</v>
      </c>
      <c r="E232" s="56">
        <f t="shared" si="21"/>
        <v>19304.250305127</v>
      </c>
    </row>
    <row r="233" customFormat="1" spans="1:5">
      <c r="A233" s="54" t="s">
        <v>32</v>
      </c>
      <c r="B233" s="55">
        <v>800979.78</v>
      </c>
      <c r="C233" s="56">
        <v>820598.14389971</v>
      </c>
      <c r="D233" s="56">
        <f t="shared" si="22"/>
        <v>-19618.36389971</v>
      </c>
      <c r="E233" s="56">
        <f t="shared" si="21"/>
        <v>19618.36389971</v>
      </c>
    </row>
    <row r="234" customFormat="1" spans="1:5">
      <c r="A234" s="54" t="s">
        <v>28</v>
      </c>
      <c r="B234" s="55">
        <v>783672.82</v>
      </c>
      <c r="C234" s="56">
        <v>803800.468952487</v>
      </c>
      <c r="D234" s="56">
        <f t="shared" ref="D234:D245" si="23">B234-C234</f>
        <v>-20127.648952487</v>
      </c>
      <c r="E234" s="56">
        <f t="shared" si="21"/>
        <v>20127.648952487</v>
      </c>
    </row>
    <row r="235" customFormat="1" spans="1:5">
      <c r="A235" s="54" t="s">
        <v>101</v>
      </c>
      <c r="B235" s="55">
        <v>621677.3</v>
      </c>
      <c r="C235" s="56">
        <v>641922.601396148</v>
      </c>
      <c r="D235" s="56">
        <f t="shared" si="23"/>
        <v>-20245.3013961479</v>
      </c>
      <c r="E235" s="56">
        <f t="shared" si="21"/>
        <v>20245.3013961479</v>
      </c>
    </row>
    <row r="236" customFormat="1" spans="1:5">
      <c r="A236" s="54" t="s">
        <v>92</v>
      </c>
      <c r="B236" s="55">
        <v>635837.74</v>
      </c>
      <c r="C236" s="56">
        <v>656094.358719768</v>
      </c>
      <c r="D236" s="56">
        <f t="shared" si="23"/>
        <v>-20256.618719768</v>
      </c>
      <c r="E236" s="56">
        <f t="shared" ref="E236:E256" si="24">ABS(D236)</f>
        <v>20256.618719768</v>
      </c>
    </row>
    <row r="237" customFormat="1" spans="1:5">
      <c r="A237" s="54" t="s">
        <v>39</v>
      </c>
      <c r="B237" s="55">
        <v>572011.2</v>
      </c>
      <c r="C237" s="56">
        <v>592273.803001076</v>
      </c>
      <c r="D237" s="56">
        <f t="shared" si="23"/>
        <v>-20262.603001076</v>
      </c>
      <c r="E237" s="56">
        <f t="shared" si="24"/>
        <v>20262.603001076</v>
      </c>
    </row>
    <row r="238" customFormat="1" spans="1:5">
      <c r="A238" s="54" t="s">
        <v>103</v>
      </c>
      <c r="B238" s="55">
        <v>559660.84</v>
      </c>
      <c r="C238" s="56">
        <v>580627.04012827</v>
      </c>
      <c r="D238" s="56">
        <f t="shared" si="23"/>
        <v>-20966.2001282701</v>
      </c>
      <c r="E238" s="56">
        <f t="shared" si="24"/>
        <v>20966.2001282701</v>
      </c>
    </row>
    <row r="239" customFormat="1" spans="1:5">
      <c r="A239" s="54" t="s">
        <v>74</v>
      </c>
      <c r="B239" s="55">
        <v>598904.9</v>
      </c>
      <c r="C239" s="56">
        <v>619886.282315758</v>
      </c>
      <c r="D239" s="56">
        <f t="shared" si="23"/>
        <v>-20981.382315758</v>
      </c>
      <c r="E239" s="56">
        <f t="shared" si="24"/>
        <v>20981.382315758</v>
      </c>
    </row>
    <row r="240" customFormat="1" spans="1:5">
      <c r="A240" s="54" t="s">
        <v>73</v>
      </c>
      <c r="B240" s="55">
        <v>578949.84</v>
      </c>
      <c r="C240" s="56">
        <v>600241.82289585</v>
      </c>
      <c r="D240" s="56">
        <f t="shared" si="23"/>
        <v>-21291.9828958501</v>
      </c>
      <c r="E240" s="56">
        <f t="shared" si="24"/>
        <v>21291.9828958501</v>
      </c>
    </row>
    <row r="241" customFormat="1" spans="1:5">
      <c r="A241" s="54" t="s">
        <v>41</v>
      </c>
      <c r="B241" s="55">
        <v>479050.5</v>
      </c>
      <c r="C241" s="56">
        <v>501282.377303255</v>
      </c>
      <c r="D241" s="56">
        <f t="shared" si="23"/>
        <v>-22231.877303255</v>
      </c>
      <c r="E241" s="56">
        <f t="shared" si="24"/>
        <v>22231.877303255</v>
      </c>
    </row>
    <row r="242" customFormat="1" spans="1:5">
      <c r="A242" s="54" t="s">
        <v>101</v>
      </c>
      <c r="B242" s="55">
        <v>628538.3</v>
      </c>
      <c r="C242" s="56">
        <v>651296.711180308</v>
      </c>
      <c r="D242" s="56">
        <f t="shared" si="23"/>
        <v>-22758.411180308</v>
      </c>
      <c r="E242" s="56">
        <f t="shared" si="24"/>
        <v>22758.411180308</v>
      </c>
    </row>
    <row r="243" customFormat="1" spans="1:5">
      <c r="A243" s="54" t="s">
        <v>38</v>
      </c>
      <c r="B243" s="55">
        <v>500298.48</v>
      </c>
      <c r="C243" s="56">
        <v>523205.571040284</v>
      </c>
      <c r="D243" s="56">
        <f t="shared" si="23"/>
        <v>-22907.091040284</v>
      </c>
      <c r="E243" s="56">
        <f t="shared" si="24"/>
        <v>22907.091040284</v>
      </c>
    </row>
    <row r="244" customFormat="1" spans="1:5">
      <c r="A244" s="54" t="s">
        <v>42</v>
      </c>
      <c r="B244" s="55">
        <v>680840.36</v>
      </c>
      <c r="C244" s="56">
        <v>704294.713983887</v>
      </c>
      <c r="D244" s="56">
        <f t="shared" si="23"/>
        <v>-23454.353983887</v>
      </c>
      <c r="E244" s="56">
        <f t="shared" si="24"/>
        <v>23454.353983887</v>
      </c>
    </row>
    <row r="245" customFormat="1" spans="1:5">
      <c r="A245" s="54" t="s">
        <v>25</v>
      </c>
      <c r="B245" s="55">
        <v>573155.19</v>
      </c>
      <c r="C245" s="56">
        <v>597020.819500714</v>
      </c>
      <c r="D245" s="56">
        <f t="shared" si="23"/>
        <v>-23865.629500714</v>
      </c>
      <c r="E245" s="56">
        <f t="shared" si="24"/>
        <v>23865.629500714</v>
      </c>
    </row>
    <row r="246" customFormat="1" spans="1:5">
      <c r="A246" s="54" t="s">
        <v>21</v>
      </c>
      <c r="B246" s="55">
        <v>779010.94</v>
      </c>
      <c r="C246" s="56">
        <v>803709.782230975</v>
      </c>
      <c r="D246" s="56">
        <f t="shared" ref="D246:D258" si="25">B246-C246</f>
        <v>-24698.842230975</v>
      </c>
      <c r="E246" s="56">
        <f t="shared" si="24"/>
        <v>24698.842230975</v>
      </c>
    </row>
    <row r="247" customFormat="1" spans="1:5">
      <c r="A247" s="54" t="s">
        <v>99</v>
      </c>
      <c r="B247" s="55">
        <v>703812.99</v>
      </c>
      <c r="C247" s="56">
        <v>728897.320100795</v>
      </c>
      <c r="D247" s="56">
        <f t="shared" si="25"/>
        <v>-25084.330100795</v>
      </c>
      <c r="E247" s="56">
        <f t="shared" si="24"/>
        <v>25084.330100795</v>
      </c>
    </row>
    <row r="248" customFormat="1" spans="1:5">
      <c r="A248" s="54" t="s">
        <v>83</v>
      </c>
      <c r="B248" s="55">
        <v>761919.25</v>
      </c>
      <c r="C248" s="56">
        <v>788833.557575478</v>
      </c>
      <c r="D248" s="56">
        <f t="shared" si="25"/>
        <v>-26914.307575478</v>
      </c>
      <c r="E248" s="56">
        <f t="shared" si="24"/>
        <v>26914.307575478</v>
      </c>
    </row>
    <row r="249" customFormat="1" spans="1:5">
      <c r="A249" s="54" t="s">
        <v>40</v>
      </c>
      <c r="B249" s="55">
        <v>717141.55</v>
      </c>
      <c r="C249" s="56">
        <v>744195.408574729</v>
      </c>
      <c r="D249" s="56">
        <f t="shared" si="25"/>
        <v>-27053.8585747289</v>
      </c>
      <c r="E249" s="56">
        <f t="shared" si="24"/>
        <v>27053.8585747289</v>
      </c>
    </row>
    <row r="250" customFormat="1" spans="1:5">
      <c r="A250" s="54" t="s">
        <v>65</v>
      </c>
      <c r="B250" s="55">
        <v>706285.52</v>
      </c>
      <c r="C250" s="56">
        <v>734510.346689011</v>
      </c>
      <c r="D250" s="56">
        <f t="shared" si="25"/>
        <v>-28224.826689011</v>
      </c>
      <c r="E250" s="56">
        <f t="shared" si="24"/>
        <v>28224.826689011</v>
      </c>
    </row>
    <row r="251" customFormat="1" spans="1:5">
      <c r="A251" s="54" t="s">
        <v>102</v>
      </c>
      <c r="B251" s="55">
        <v>688368.46</v>
      </c>
      <c r="C251" s="56">
        <v>717396.07846328</v>
      </c>
      <c r="D251" s="56">
        <f t="shared" si="25"/>
        <v>-29027.61846328</v>
      </c>
      <c r="E251" s="56">
        <f t="shared" si="24"/>
        <v>29027.61846328</v>
      </c>
    </row>
    <row r="252" customFormat="1" spans="1:5">
      <c r="A252" s="54" t="s">
        <v>83</v>
      </c>
      <c r="B252" s="55">
        <v>810355.02</v>
      </c>
      <c r="C252" s="56">
        <v>839591.195331652</v>
      </c>
      <c r="D252" s="56">
        <f t="shared" si="25"/>
        <v>-29236.1753316519</v>
      </c>
      <c r="E252" s="56">
        <f t="shared" si="24"/>
        <v>29236.1753316519</v>
      </c>
    </row>
    <row r="253" customFormat="1" spans="1:5">
      <c r="A253" s="54" t="s">
        <v>40</v>
      </c>
      <c r="B253" s="55">
        <v>784502.68</v>
      </c>
      <c r="C253" s="56">
        <v>813792.571628266</v>
      </c>
      <c r="D253" s="56">
        <f t="shared" si="25"/>
        <v>-29289.891628266</v>
      </c>
      <c r="E253" s="56">
        <f t="shared" si="24"/>
        <v>29289.891628266</v>
      </c>
    </row>
    <row r="254" customFormat="1" spans="1:5">
      <c r="A254" s="54" t="s">
        <v>85</v>
      </c>
      <c r="B254" s="55">
        <v>679230.86</v>
      </c>
      <c r="C254" s="56">
        <v>709070.988924128</v>
      </c>
      <c r="D254" s="56">
        <f t="shared" si="25"/>
        <v>-29840.128924128</v>
      </c>
      <c r="E254" s="56">
        <f t="shared" si="24"/>
        <v>29840.128924128</v>
      </c>
    </row>
    <row r="255" customFormat="1" spans="1:5">
      <c r="A255" s="54" t="s">
        <v>79</v>
      </c>
      <c r="B255" s="55">
        <v>723531.4</v>
      </c>
      <c r="C255" s="56">
        <v>753720.574360095</v>
      </c>
      <c r="D255" s="56">
        <f t="shared" si="25"/>
        <v>-30189.1743600949</v>
      </c>
      <c r="E255" s="56">
        <f t="shared" si="24"/>
        <v>30189.1743600949</v>
      </c>
    </row>
    <row r="256" customFormat="1" spans="1:5">
      <c r="A256" s="54" t="s">
        <v>60</v>
      </c>
      <c r="B256" s="55">
        <v>577732.57</v>
      </c>
      <c r="C256" s="56">
        <v>608001.558566111</v>
      </c>
      <c r="D256" s="56">
        <f t="shared" si="25"/>
        <v>-30268.9885661111</v>
      </c>
      <c r="E256" s="56">
        <f t="shared" si="24"/>
        <v>30268.9885661111</v>
      </c>
    </row>
    <row r="257" customFormat="1" spans="1:5">
      <c r="A257" s="54" t="s">
        <v>16</v>
      </c>
      <c r="B257" s="55">
        <v>658832.62</v>
      </c>
      <c r="C257" s="56">
        <v>689614.61269175</v>
      </c>
      <c r="D257" s="56">
        <f t="shared" si="25"/>
        <v>-30781.9926917501</v>
      </c>
      <c r="E257" s="56">
        <f t="shared" ref="E257:E274" si="26">ABS(D257)</f>
        <v>30781.9926917501</v>
      </c>
    </row>
    <row r="258" customFormat="1" spans="1:5">
      <c r="A258" s="54" t="s">
        <v>54</v>
      </c>
      <c r="B258" s="55">
        <v>557487.26</v>
      </c>
      <c r="C258" s="56">
        <v>588757.476798534</v>
      </c>
      <c r="D258" s="56">
        <f t="shared" si="25"/>
        <v>-31270.216798534</v>
      </c>
      <c r="E258" s="56">
        <f t="shared" si="26"/>
        <v>31270.216798534</v>
      </c>
    </row>
    <row r="259" customFormat="1" spans="1:5">
      <c r="A259" s="54" t="s">
        <v>98</v>
      </c>
      <c r="B259" s="55">
        <v>599017.33</v>
      </c>
      <c r="C259" s="56">
        <v>630544.943993058</v>
      </c>
      <c r="D259" s="56">
        <f t="shared" ref="D259:D290" si="27">B259-C259</f>
        <v>-31527.6139930581</v>
      </c>
      <c r="E259" s="56">
        <f t="shared" si="26"/>
        <v>31527.6139930581</v>
      </c>
    </row>
    <row r="260" customFormat="1" spans="1:5">
      <c r="A260" s="54" t="s">
        <v>80</v>
      </c>
      <c r="B260" s="55">
        <v>527681.56</v>
      </c>
      <c r="C260" s="56">
        <v>560141.080392099</v>
      </c>
      <c r="D260" s="56">
        <f t="shared" si="27"/>
        <v>-32459.5203920989</v>
      </c>
      <c r="E260" s="56">
        <f t="shared" si="26"/>
        <v>32459.5203920989</v>
      </c>
    </row>
    <row r="261" customFormat="1" spans="1:5">
      <c r="A261" s="54" t="s">
        <v>94</v>
      </c>
      <c r="B261" s="55">
        <v>555557.77</v>
      </c>
      <c r="C261" s="56">
        <v>588668.264193473</v>
      </c>
      <c r="D261" s="56">
        <f t="shared" si="27"/>
        <v>-33110.494193473</v>
      </c>
      <c r="E261" s="56">
        <f t="shared" si="26"/>
        <v>33110.494193473</v>
      </c>
    </row>
    <row r="262" customFormat="1" spans="1:5">
      <c r="A262" s="54" t="s">
        <v>44</v>
      </c>
      <c r="B262" s="55">
        <v>621369.58</v>
      </c>
      <c r="C262" s="56">
        <v>654555.004676735</v>
      </c>
      <c r="D262" s="56">
        <f t="shared" si="27"/>
        <v>-33185.4246767351</v>
      </c>
      <c r="E262" s="56">
        <f t="shared" si="26"/>
        <v>33185.4246767351</v>
      </c>
    </row>
    <row r="263" customFormat="1" spans="1:5">
      <c r="A263" s="54" t="s">
        <v>81</v>
      </c>
      <c r="B263" s="55">
        <v>596969.27</v>
      </c>
      <c r="C263" s="56">
        <v>630310.418025972</v>
      </c>
      <c r="D263" s="56">
        <f t="shared" si="27"/>
        <v>-33341.148025972</v>
      </c>
      <c r="E263" s="56">
        <f t="shared" si="26"/>
        <v>33341.148025972</v>
      </c>
    </row>
    <row r="264" customFormat="1" spans="1:5">
      <c r="A264" s="54" t="s">
        <v>36</v>
      </c>
      <c r="B264" s="55">
        <v>622811.74</v>
      </c>
      <c r="C264" s="56">
        <v>656356.270559378</v>
      </c>
      <c r="D264" s="56">
        <f t="shared" si="27"/>
        <v>-33544.530559378</v>
      </c>
      <c r="E264" s="56">
        <f t="shared" si="26"/>
        <v>33544.530559378</v>
      </c>
    </row>
    <row r="265" customFormat="1" spans="1:5">
      <c r="A265" s="54" t="s">
        <v>28</v>
      </c>
      <c r="B265" s="55">
        <v>811771.14</v>
      </c>
      <c r="C265" s="56">
        <v>845846.723330389</v>
      </c>
      <c r="D265" s="56">
        <f t="shared" si="27"/>
        <v>-34075.583330389</v>
      </c>
      <c r="E265" s="56">
        <f t="shared" si="26"/>
        <v>34075.583330389</v>
      </c>
    </row>
    <row r="266" customFormat="1" spans="1:5">
      <c r="A266" s="54" t="s">
        <v>74</v>
      </c>
      <c r="B266" s="55">
        <v>650795.49</v>
      </c>
      <c r="C266" s="56">
        <v>684906.672221847</v>
      </c>
      <c r="D266" s="56">
        <f t="shared" si="27"/>
        <v>-34111.182221847</v>
      </c>
      <c r="E266" s="56">
        <f t="shared" si="26"/>
        <v>34111.182221847</v>
      </c>
    </row>
    <row r="267" customFormat="1" spans="1:5">
      <c r="A267" s="54" t="s">
        <v>24</v>
      </c>
      <c r="B267" s="55">
        <v>726606.28</v>
      </c>
      <c r="C267" s="56">
        <v>760817.651818463</v>
      </c>
      <c r="D267" s="56">
        <f t="shared" si="27"/>
        <v>-34211.371818463</v>
      </c>
      <c r="E267" s="56">
        <f t="shared" si="26"/>
        <v>34211.371818463</v>
      </c>
    </row>
    <row r="268" customFormat="1" spans="1:5">
      <c r="A268" s="54" t="s">
        <v>49</v>
      </c>
      <c r="B268" s="55">
        <v>586626.94</v>
      </c>
      <c r="C268" s="56">
        <v>622394.664284668</v>
      </c>
      <c r="D268" s="56">
        <f t="shared" si="27"/>
        <v>-35767.7242846681</v>
      </c>
      <c r="E268" s="56">
        <f t="shared" si="26"/>
        <v>35767.7242846681</v>
      </c>
    </row>
    <row r="269" customFormat="1" spans="1:5">
      <c r="A269" s="54" t="s">
        <v>62</v>
      </c>
      <c r="B269" s="55">
        <v>685830.24</v>
      </c>
      <c r="C269" s="56">
        <v>722588.809583497</v>
      </c>
      <c r="D269" s="56">
        <f t="shared" si="27"/>
        <v>-36758.569583497</v>
      </c>
      <c r="E269" s="56">
        <f t="shared" si="26"/>
        <v>36758.569583497</v>
      </c>
    </row>
    <row r="270" customFormat="1" spans="1:5">
      <c r="A270" s="54" t="s">
        <v>43</v>
      </c>
      <c r="B270" s="55">
        <v>636561.34</v>
      </c>
      <c r="C270" s="56">
        <v>675314.013307564</v>
      </c>
      <c r="D270" s="56">
        <f t="shared" si="27"/>
        <v>-38752.673307564</v>
      </c>
      <c r="E270" s="56">
        <f t="shared" si="26"/>
        <v>38752.673307564</v>
      </c>
    </row>
    <row r="271" customFormat="1" spans="1:5">
      <c r="A271" s="54" t="s">
        <v>45</v>
      </c>
      <c r="B271" s="55">
        <v>611766.72</v>
      </c>
      <c r="C271" s="56">
        <v>651097.31093885</v>
      </c>
      <c r="D271" s="56">
        <f t="shared" si="27"/>
        <v>-39330.5909388501</v>
      </c>
      <c r="E271" s="56">
        <f t="shared" si="26"/>
        <v>39330.5909388501</v>
      </c>
    </row>
    <row r="272" customFormat="1" spans="1:5">
      <c r="A272" s="54" t="s">
        <v>103</v>
      </c>
      <c r="B272" s="55">
        <v>620264.2</v>
      </c>
      <c r="C272" s="56">
        <v>659850.453220976</v>
      </c>
      <c r="D272" s="56">
        <f t="shared" si="27"/>
        <v>-39586.2532209761</v>
      </c>
      <c r="E272" s="56">
        <f t="shared" si="26"/>
        <v>39586.2532209761</v>
      </c>
    </row>
    <row r="273" customFormat="1" spans="1:5">
      <c r="A273" s="54" t="s">
        <v>97</v>
      </c>
      <c r="B273" s="55">
        <v>546223.7</v>
      </c>
      <c r="C273" s="56">
        <v>586629.918232886</v>
      </c>
      <c r="D273" s="56">
        <f t="shared" si="27"/>
        <v>-40406.2182328861</v>
      </c>
      <c r="E273" s="56">
        <f t="shared" si="26"/>
        <v>40406.2182328861</v>
      </c>
    </row>
    <row r="274" customFormat="1" spans="1:5">
      <c r="A274" s="54" t="s">
        <v>21</v>
      </c>
      <c r="B274" s="55">
        <v>723060.76</v>
      </c>
      <c r="C274" s="56">
        <v>763540.395665825</v>
      </c>
      <c r="D274" s="56">
        <f t="shared" si="27"/>
        <v>-40479.635665825</v>
      </c>
      <c r="E274" s="56">
        <f t="shared" si="26"/>
        <v>40479.635665825</v>
      </c>
    </row>
    <row r="275" customFormat="1" spans="1:5">
      <c r="A275" s="54" t="s">
        <v>61</v>
      </c>
      <c r="B275" s="55">
        <v>614024.91</v>
      </c>
      <c r="C275" s="56">
        <v>654505.029332394</v>
      </c>
      <c r="D275" s="56">
        <f t="shared" si="27"/>
        <v>-40480.119332394</v>
      </c>
      <c r="E275" s="56">
        <f t="shared" ref="E275:E292" si="28">ABS(D275)</f>
        <v>40480.119332394</v>
      </c>
    </row>
    <row r="276" customFormat="1" spans="1:5">
      <c r="A276" s="54" t="s">
        <v>35</v>
      </c>
      <c r="B276" s="55">
        <v>599603.4</v>
      </c>
      <c r="C276" s="56">
        <v>640314.023519821</v>
      </c>
      <c r="D276" s="56">
        <f t="shared" si="27"/>
        <v>-40710.623519821</v>
      </c>
      <c r="E276" s="56">
        <f t="shared" si="28"/>
        <v>40710.623519821</v>
      </c>
    </row>
    <row r="277" customFormat="1" spans="1:5">
      <c r="A277" s="54" t="s">
        <v>63</v>
      </c>
      <c r="B277" s="55">
        <v>602002.32</v>
      </c>
      <c r="C277" s="56">
        <v>643841.795934401</v>
      </c>
      <c r="D277" s="56">
        <f t="shared" si="27"/>
        <v>-41839.475934401</v>
      </c>
      <c r="E277" s="56">
        <f t="shared" si="28"/>
        <v>41839.475934401</v>
      </c>
    </row>
    <row r="278" customFormat="1" spans="1:5">
      <c r="A278" s="54" t="s">
        <v>71</v>
      </c>
      <c r="B278" s="55">
        <v>554012.07</v>
      </c>
      <c r="C278" s="56">
        <v>597090.328622782</v>
      </c>
      <c r="D278" s="56">
        <f t="shared" si="27"/>
        <v>-43078.2586227821</v>
      </c>
      <c r="E278" s="56">
        <f t="shared" si="28"/>
        <v>43078.2586227821</v>
      </c>
    </row>
    <row r="279" customFormat="1" spans="1:5">
      <c r="A279" s="54" t="s">
        <v>72</v>
      </c>
      <c r="B279" s="55">
        <v>643428.85</v>
      </c>
      <c r="C279" s="56">
        <v>688354.066865847</v>
      </c>
      <c r="D279" s="56">
        <f t="shared" si="27"/>
        <v>-44925.216865847</v>
      </c>
      <c r="E279" s="56">
        <f t="shared" si="28"/>
        <v>44925.216865847</v>
      </c>
    </row>
    <row r="280" customFormat="1" spans="1:5">
      <c r="A280" s="54" t="s">
        <v>37</v>
      </c>
      <c r="B280" s="55">
        <v>487464.91</v>
      </c>
      <c r="C280" s="56">
        <v>532707.674072433</v>
      </c>
      <c r="D280" s="56">
        <f t="shared" si="27"/>
        <v>-45242.7640724331</v>
      </c>
      <c r="E280" s="56">
        <f t="shared" si="28"/>
        <v>45242.7640724331</v>
      </c>
    </row>
    <row r="281" customFormat="1" spans="1:5">
      <c r="A281" s="54" t="s">
        <v>33</v>
      </c>
      <c r="B281" s="55">
        <v>718330.53</v>
      </c>
      <c r="C281" s="56">
        <v>764042.238278777</v>
      </c>
      <c r="D281" s="56">
        <f t="shared" si="27"/>
        <v>-45711.708278777</v>
      </c>
      <c r="E281" s="56">
        <f t="shared" si="28"/>
        <v>45711.708278777</v>
      </c>
    </row>
    <row r="282" customFormat="1" spans="1:5">
      <c r="A282" s="54" t="s">
        <v>32</v>
      </c>
      <c r="B282" s="55">
        <v>799477.76</v>
      </c>
      <c r="C282" s="56">
        <v>845603.791849544</v>
      </c>
      <c r="D282" s="56">
        <f t="shared" si="27"/>
        <v>-46126.031849544</v>
      </c>
      <c r="E282" s="56">
        <f t="shared" si="28"/>
        <v>46126.031849544</v>
      </c>
    </row>
    <row r="283" customFormat="1" spans="1:5">
      <c r="A283" s="54" t="s">
        <v>101</v>
      </c>
      <c r="B283" s="55">
        <v>536524.84</v>
      </c>
      <c r="C283" s="56">
        <v>582721.679329533</v>
      </c>
      <c r="D283" s="56">
        <f t="shared" si="27"/>
        <v>-46196.839329533</v>
      </c>
      <c r="E283" s="56">
        <f t="shared" si="28"/>
        <v>46196.839329533</v>
      </c>
    </row>
    <row r="284" customFormat="1" spans="1:5">
      <c r="A284" s="54" t="s">
        <v>54</v>
      </c>
      <c r="B284" s="55">
        <v>509484.81</v>
      </c>
      <c r="C284" s="56">
        <v>556114.341881034</v>
      </c>
      <c r="D284" s="56">
        <f t="shared" si="27"/>
        <v>-46629.531881034</v>
      </c>
      <c r="E284" s="56">
        <f t="shared" si="28"/>
        <v>46629.531881034</v>
      </c>
    </row>
    <row r="285" customFormat="1" spans="1:5">
      <c r="A285" s="54" t="s">
        <v>42</v>
      </c>
      <c r="B285" s="55">
        <v>630829.94</v>
      </c>
      <c r="C285" s="56">
        <v>677751.269241369</v>
      </c>
      <c r="D285" s="56">
        <f t="shared" si="27"/>
        <v>-46921.329241369</v>
      </c>
      <c r="E285" s="56">
        <f t="shared" si="28"/>
        <v>46921.329241369</v>
      </c>
    </row>
    <row r="286" customFormat="1" spans="1:5">
      <c r="A286" s="54" t="s">
        <v>57</v>
      </c>
      <c r="B286" s="55">
        <v>527300.13</v>
      </c>
      <c r="C286" s="56">
        <v>574547.180671627</v>
      </c>
      <c r="D286" s="56">
        <f t="shared" si="27"/>
        <v>-47247.050671627</v>
      </c>
      <c r="E286" s="56">
        <f t="shared" si="28"/>
        <v>47247.050671627</v>
      </c>
    </row>
    <row r="287" customFormat="1" spans="1:5">
      <c r="A287" s="54" t="s">
        <v>19</v>
      </c>
      <c r="B287" s="55">
        <v>741341.44</v>
      </c>
      <c r="C287" s="56">
        <v>789087.647858451</v>
      </c>
      <c r="D287" s="56">
        <f t="shared" si="27"/>
        <v>-47746.2078584511</v>
      </c>
      <c r="E287" s="56">
        <f t="shared" si="28"/>
        <v>47746.2078584511</v>
      </c>
    </row>
    <row r="288" customFormat="1" spans="1:5">
      <c r="A288" s="54" t="s">
        <v>81</v>
      </c>
      <c r="B288" s="55">
        <v>570963.31</v>
      </c>
      <c r="C288" s="56">
        <v>619774.77223973</v>
      </c>
      <c r="D288" s="56">
        <f t="shared" si="27"/>
        <v>-48811.4622397299</v>
      </c>
      <c r="E288" s="56">
        <f t="shared" si="28"/>
        <v>48811.4622397299</v>
      </c>
    </row>
    <row r="289" customFormat="1" spans="1:5">
      <c r="A289" s="54" t="s">
        <v>74</v>
      </c>
      <c r="B289" s="55">
        <v>607084.92</v>
      </c>
      <c r="C289" s="56">
        <v>656998.336643235</v>
      </c>
      <c r="D289" s="56">
        <f t="shared" si="27"/>
        <v>-49913.4166432349</v>
      </c>
      <c r="E289" s="56">
        <f t="shared" si="28"/>
        <v>49913.4166432349</v>
      </c>
    </row>
    <row r="290" customFormat="1" spans="1:5">
      <c r="A290" s="54" t="s">
        <v>52</v>
      </c>
      <c r="B290" s="55">
        <v>718074.79</v>
      </c>
      <c r="C290" s="56">
        <v>768547.386530806</v>
      </c>
      <c r="D290" s="56">
        <f t="shared" si="27"/>
        <v>-50472.5965308059</v>
      </c>
      <c r="E290" s="56">
        <f t="shared" si="28"/>
        <v>50472.5965308059</v>
      </c>
    </row>
    <row r="291" customFormat="1" spans="1:5">
      <c r="A291" s="54" t="s">
        <v>87</v>
      </c>
      <c r="B291" s="55">
        <v>612390.14</v>
      </c>
      <c r="C291" s="56">
        <v>663197.113981166</v>
      </c>
      <c r="D291" s="56">
        <f t="shared" ref="D291:D325" si="29">B291-C291</f>
        <v>-50806.973981166</v>
      </c>
      <c r="E291" s="56">
        <f t="shared" si="28"/>
        <v>50806.973981166</v>
      </c>
    </row>
    <row r="292" customFormat="1" spans="1:5">
      <c r="A292" s="54" t="s">
        <v>94</v>
      </c>
      <c r="B292" s="55">
        <v>524899.57</v>
      </c>
      <c r="C292" s="56">
        <v>576155.644804982</v>
      </c>
      <c r="D292" s="56">
        <f t="shared" si="29"/>
        <v>-51256.0748049821</v>
      </c>
      <c r="E292" s="56">
        <f t="shared" si="28"/>
        <v>51256.0748049821</v>
      </c>
    </row>
    <row r="293" customFormat="1" spans="1:5">
      <c r="A293" s="54" t="s">
        <v>66</v>
      </c>
      <c r="B293" s="55">
        <v>593637.14</v>
      </c>
      <c r="C293" s="56">
        <v>647351.608068328</v>
      </c>
      <c r="D293" s="56">
        <f t="shared" si="29"/>
        <v>-53714.468068328</v>
      </c>
      <c r="E293" s="56">
        <f t="shared" ref="E293:E307" si="30">ABS(D293)</f>
        <v>53714.468068328</v>
      </c>
    </row>
    <row r="294" customFormat="1" spans="1:5">
      <c r="A294" s="54" t="s">
        <v>100</v>
      </c>
      <c r="B294" s="55">
        <v>651164.18</v>
      </c>
      <c r="C294" s="56">
        <v>704965.012116178</v>
      </c>
      <c r="D294" s="56">
        <f t="shared" si="29"/>
        <v>-53800.832116178</v>
      </c>
      <c r="E294" s="56">
        <f t="shared" si="30"/>
        <v>53800.832116178</v>
      </c>
    </row>
    <row r="295" customFormat="1" spans="1:5">
      <c r="A295" s="54" t="s">
        <v>57</v>
      </c>
      <c r="B295" s="55">
        <v>400831.65</v>
      </c>
      <c r="C295" s="56">
        <v>455512.462763656</v>
      </c>
      <c r="D295" s="56">
        <f t="shared" si="29"/>
        <v>-54680.812763656</v>
      </c>
      <c r="E295" s="56">
        <f t="shared" si="30"/>
        <v>54680.812763656</v>
      </c>
    </row>
    <row r="296" customFormat="1" spans="1:5">
      <c r="A296" s="54" t="s">
        <v>31</v>
      </c>
      <c r="B296" s="55">
        <v>427917.38</v>
      </c>
      <c r="C296" s="56">
        <v>484830.612751704</v>
      </c>
      <c r="D296" s="56">
        <f t="shared" si="29"/>
        <v>-56913.232751704</v>
      </c>
      <c r="E296" s="56">
        <f t="shared" si="30"/>
        <v>56913.232751704</v>
      </c>
    </row>
    <row r="297" customFormat="1" spans="1:5">
      <c r="A297" s="54" t="s">
        <v>64</v>
      </c>
      <c r="B297" s="55">
        <v>650480.06</v>
      </c>
      <c r="C297" s="56">
        <v>708077.382258127</v>
      </c>
      <c r="D297" s="56">
        <f t="shared" si="29"/>
        <v>-57597.3222581269</v>
      </c>
      <c r="E297" s="56">
        <f t="shared" si="30"/>
        <v>57597.3222581269</v>
      </c>
    </row>
    <row r="298" customFormat="1" spans="1:5">
      <c r="A298" s="54" t="s">
        <v>16</v>
      </c>
      <c r="B298" s="55">
        <v>634436</v>
      </c>
      <c r="C298" s="56">
        <v>692150.385076545</v>
      </c>
      <c r="D298" s="56">
        <f t="shared" si="29"/>
        <v>-57714.3850765449</v>
      </c>
      <c r="E298" s="56">
        <f t="shared" si="30"/>
        <v>57714.3850765449</v>
      </c>
    </row>
    <row r="299" customFormat="1" spans="1:5">
      <c r="A299" s="54" t="s">
        <v>56</v>
      </c>
      <c r="B299" s="55">
        <v>725235.28</v>
      </c>
      <c r="C299" s="56">
        <v>783100.989207097</v>
      </c>
      <c r="D299" s="56">
        <f t="shared" si="29"/>
        <v>-57865.709207097</v>
      </c>
      <c r="E299" s="56">
        <f t="shared" si="30"/>
        <v>57865.709207097</v>
      </c>
    </row>
    <row r="300" customFormat="1" spans="1:5">
      <c r="A300" s="54" t="s">
        <v>31</v>
      </c>
      <c r="B300" s="55">
        <v>511844.41</v>
      </c>
      <c r="C300" s="56">
        <v>571030.719809652</v>
      </c>
      <c r="D300" s="56">
        <f t="shared" si="29"/>
        <v>-59186.309809652</v>
      </c>
      <c r="E300" s="56">
        <f t="shared" si="30"/>
        <v>59186.309809652</v>
      </c>
    </row>
    <row r="301" customFormat="1" spans="1:5">
      <c r="A301" s="54" t="s">
        <v>38</v>
      </c>
      <c r="B301" s="55">
        <v>617291.15</v>
      </c>
      <c r="C301" s="56">
        <v>677815.415752148</v>
      </c>
      <c r="D301" s="56">
        <f t="shared" si="29"/>
        <v>-60524.265752148</v>
      </c>
      <c r="E301" s="56">
        <f t="shared" si="30"/>
        <v>60524.265752148</v>
      </c>
    </row>
    <row r="302" customFormat="1" spans="1:5">
      <c r="A302" s="54" t="s">
        <v>38</v>
      </c>
      <c r="B302" s="55">
        <v>553756.43</v>
      </c>
      <c r="C302" s="56">
        <v>615895.413510095</v>
      </c>
      <c r="D302" s="56">
        <f t="shared" si="29"/>
        <v>-62138.9835100949</v>
      </c>
      <c r="E302" s="56">
        <f t="shared" si="30"/>
        <v>62138.9835100949</v>
      </c>
    </row>
    <row r="303" customFormat="1" spans="1:5">
      <c r="A303" s="54" t="s">
        <v>53</v>
      </c>
      <c r="B303" s="55">
        <v>684217.32</v>
      </c>
      <c r="C303" s="56">
        <v>746972.993347644</v>
      </c>
      <c r="D303" s="56">
        <f t="shared" si="29"/>
        <v>-62755.673347644</v>
      </c>
      <c r="E303" s="56">
        <f t="shared" si="30"/>
        <v>62755.673347644</v>
      </c>
    </row>
    <row r="304" customFormat="1" spans="1:5">
      <c r="A304" s="54" t="s">
        <v>54</v>
      </c>
      <c r="B304" s="55">
        <v>441275.42</v>
      </c>
      <c r="C304" s="56">
        <v>504506.014476423</v>
      </c>
      <c r="D304" s="56">
        <f t="shared" si="29"/>
        <v>-63230.594476423</v>
      </c>
      <c r="E304" s="56">
        <f t="shared" si="30"/>
        <v>63230.594476423</v>
      </c>
    </row>
    <row r="305" customFormat="1" spans="1:5">
      <c r="A305" s="54" t="s">
        <v>16</v>
      </c>
      <c r="B305" s="55">
        <v>678722.06</v>
      </c>
      <c r="C305" s="56">
        <v>743132.468860241</v>
      </c>
      <c r="D305" s="56">
        <f t="shared" si="29"/>
        <v>-64410.4088602409</v>
      </c>
      <c r="E305" s="56">
        <f t="shared" si="30"/>
        <v>64410.4088602409</v>
      </c>
    </row>
    <row r="306" customFormat="1" spans="1:5">
      <c r="A306" s="54" t="s">
        <v>75</v>
      </c>
      <c r="B306" s="55">
        <v>671868.59</v>
      </c>
      <c r="C306" s="56">
        <v>737475.736849269</v>
      </c>
      <c r="D306" s="56">
        <f t="shared" si="29"/>
        <v>-65607.146849269</v>
      </c>
      <c r="E306" s="56">
        <f t="shared" si="30"/>
        <v>65607.146849269</v>
      </c>
    </row>
    <row r="307" customFormat="1" spans="1:5">
      <c r="A307" s="54" t="s">
        <v>52</v>
      </c>
      <c r="B307" s="55">
        <v>697287.9</v>
      </c>
      <c r="C307" s="56">
        <v>764642.459390107</v>
      </c>
      <c r="D307" s="56">
        <f t="shared" si="29"/>
        <v>-67354.5593901069</v>
      </c>
      <c r="E307" s="56">
        <f t="shared" si="30"/>
        <v>67354.5593901069</v>
      </c>
    </row>
    <row r="308" customFormat="1" spans="1:5">
      <c r="A308" s="54" t="s">
        <v>93</v>
      </c>
      <c r="B308" s="55">
        <v>673076.34</v>
      </c>
      <c r="C308" s="56">
        <v>745228.032689655</v>
      </c>
      <c r="D308" s="56">
        <f t="shared" si="29"/>
        <v>-72151.692689655</v>
      </c>
      <c r="E308" s="56">
        <f t="shared" ref="E308:E325" si="31">ABS(D308)</f>
        <v>72151.692689655</v>
      </c>
    </row>
    <row r="309" customFormat="1" spans="1:5">
      <c r="A309" s="54" t="s">
        <v>58</v>
      </c>
      <c r="B309" s="55">
        <v>633638.03</v>
      </c>
      <c r="C309" s="56">
        <v>706131.81719017</v>
      </c>
      <c r="D309" s="56">
        <f t="shared" si="29"/>
        <v>-72493.78719017</v>
      </c>
      <c r="E309" s="56">
        <f t="shared" si="31"/>
        <v>72493.78719017</v>
      </c>
    </row>
    <row r="310" customFormat="1" spans="1:5">
      <c r="A310" s="54" t="s">
        <v>76</v>
      </c>
      <c r="B310" s="55">
        <v>691288.19</v>
      </c>
      <c r="C310" s="56">
        <v>765808.937821783</v>
      </c>
      <c r="D310" s="56">
        <f t="shared" si="29"/>
        <v>-74520.7478217831</v>
      </c>
      <c r="E310" s="56">
        <f t="shared" si="31"/>
        <v>74520.7478217831</v>
      </c>
    </row>
    <row r="311" customFormat="1" spans="1:5">
      <c r="A311" s="54" t="s">
        <v>27</v>
      </c>
      <c r="B311" s="55">
        <v>415721.82</v>
      </c>
      <c r="C311" s="56">
        <v>493868.489415687</v>
      </c>
      <c r="D311" s="56">
        <f t="shared" si="29"/>
        <v>-78146.669415687</v>
      </c>
      <c r="E311" s="56">
        <f t="shared" si="31"/>
        <v>78146.669415687</v>
      </c>
    </row>
    <row r="312" customFormat="1" spans="1:5">
      <c r="A312" s="54" t="s">
        <v>98</v>
      </c>
      <c r="B312" s="55">
        <v>401582.58</v>
      </c>
      <c r="C312" s="56">
        <v>481175.446206586</v>
      </c>
      <c r="D312" s="56">
        <f t="shared" si="29"/>
        <v>-79592.866206586</v>
      </c>
      <c r="E312" s="56">
        <f t="shared" si="31"/>
        <v>79592.866206586</v>
      </c>
    </row>
    <row r="313" customFormat="1" spans="1:5">
      <c r="A313" s="54" t="s">
        <v>91</v>
      </c>
      <c r="B313" s="55">
        <v>593343</v>
      </c>
      <c r="C313" s="56">
        <v>673893.537290858</v>
      </c>
      <c r="D313" s="56">
        <f t="shared" si="29"/>
        <v>-80550.537290858</v>
      </c>
      <c r="E313" s="56">
        <f t="shared" si="31"/>
        <v>80550.537290858</v>
      </c>
    </row>
    <row r="314" customFormat="1" spans="1:5">
      <c r="A314" s="54" t="s">
        <v>72</v>
      </c>
      <c r="B314" s="55">
        <v>449465.06</v>
      </c>
      <c r="C314" s="56">
        <v>530249.720495826</v>
      </c>
      <c r="D314" s="56">
        <f t="shared" si="29"/>
        <v>-80784.660495826</v>
      </c>
      <c r="E314" s="56">
        <f t="shared" si="31"/>
        <v>80784.660495826</v>
      </c>
    </row>
    <row r="315" customFormat="1" spans="1:5">
      <c r="A315" s="54" t="s">
        <v>75</v>
      </c>
      <c r="B315" s="55">
        <v>675917.63</v>
      </c>
      <c r="C315" s="56">
        <v>756992.342408938</v>
      </c>
      <c r="D315" s="56">
        <f t="shared" si="29"/>
        <v>-81074.712408938</v>
      </c>
      <c r="E315" s="56">
        <f t="shared" si="31"/>
        <v>81074.712408938</v>
      </c>
    </row>
    <row r="316" customFormat="1" spans="1:5">
      <c r="A316" s="54" t="s">
        <v>91</v>
      </c>
      <c r="B316" s="55">
        <v>660633.99</v>
      </c>
      <c r="C316" s="56">
        <v>743239.277859759</v>
      </c>
      <c r="D316" s="56">
        <f t="shared" si="29"/>
        <v>-82605.2878597591</v>
      </c>
      <c r="E316" s="56">
        <f t="shared" si="31"/>
        <v>82605.2878597591</v>
      </c>
    </row>
    <row r="317" customFormat="1" spans="1:5">
      <c r="A317" s="54" t="s">
        <v>83</v>
      </c>
      <c r="B317" s="55">
        <v>721079.35</v>
      </c>
      <c r="C317" s="56">
        <v>806048.177752827</v>
      </c>
      <c r="D317" s="56">
        <f t="shared" si="29"/>
        <v>-84968.827752827</v>
      </c>
      <c r="E317" s="56">
        <f t="shared" si="31"/>
        <v>84968.827752827</v>
      </c>
    </row>
    <row r="318" customFormat="1" spans="1:5">
      <c r="A318" s="54" t="s">
        <v>16</v>
      </c>
      <c r="B318" s="55">
        <v>658920.3</v>
      </c>
      <c r="C318" s="56">
        <v>747000.031929532</v>
      </c>
      <c r="D318" s="56">
        <f t="shared" si="29"/>
        <v>-88079.7319295319</v>
      </c>
      <c r="E318" s="56">
        <f t="shared" si="31"/>
        <v>88079.7319295319</v>
      </c>
    </row>
    <row r="319" customFormat="1" spans="1:5">
      <c r="A319" s="54" t="s">
        <v>100</v>
      </c>
      <c r="B319" s="55">
        <v>538376</v>
      </c>
      <c r="C319" s="56">
        <v>631710.926438499</v>
      </c>
      <c r="D319" s="56">
        <f t="shared" si="29"/>
        <v>-93334.926438499</v>
      </c>
      <c r="E319" s="56">
        <f t="shared" si="31"/>
        <v>93334.926438499</v>
      </c>
    </row>
    <row r="320" customFormat="1" spans="1:5">
      <c r="A320" s="54" t="s">
        <v>37</v>
      </c>
      <c r="B320" s="55">
        <v>463534.25</v>
      </c>
      <c r="C320" s="56">
        <v>561941.775627044</v>
      </c>
      <c r="D320" s="56">
        <f t="shared" si="29"/>
        <v>-98407.525627044</v>
      </c>
      <c r="E320" s="56">
        <f t="shared" si="31"/>
        <v>98407.525627044</v>
      </c>
    </row>
    <row r="321" customFormat="1" spans="1:5">
      <c r="A321" s="54" t="s">
        <v>32</v>
      </c>
      <c r="B321" s="55">
        <v>641865.03</v>
      </c>
      <c r="C321" s="56">
        <v>741946.006325298</v>
      </c>
      <c r="D321" s="56">
        <f t="shared" si="29"/>
        <v>-100080.976325298</v>
      </c>
      <c r="E321" s="56">
        <f t="shared" si="31"/>
        <v>100080.976325298</v>
      </c>
    </row>
    <row r="322" customFormat="1" spans="1:5">
      <c r="A322" s="54" t="s">
        <v>28</v>
      </c>
      <c r="B322" s="55">
        <v>800451.94</v>
      </c>
      <c r="C322" s="56">
        <v>912993.811488041</v>
      </c>
      <c r="D322" s="56">
        <f t="shared" si="29"/>
        <v>-112541.871488041</v>
      </c>
      <c r="E322" s="56">
        <f t="shared" si="31"/>
        <v>112541.871488041</v>
      </c>
    </row>
    <row r="323" customFormat="1" spans="1:5">
      <c r="A323" s="54" t="s">
        <v>35</v>
      </c>
      <c r="B323" s="55">
        <v>595467.6</v>
      </c>
      <c r="C323" s="56">
        <v>722105.364337582</v>
      </c>
      <c r="D323" s="56">
        <f t="shared" si="29"/>
        <v>-126637.764337582</v>
      </c>
      <c r="E323" s="56">
        <f t="shared" si="31"/>
        <v>126637.764337582</v>
      </c>
    </row>
    <row r="324" customFormat="1" spans="1:5">
      <c r="A324" s="54" t="s">
        <v>46</v>
      </c>
      <c r="B324" s="55">
        <v>627171.9</v>
      </c>
      <c r="C324" s="56">
        <v>760561.838302507</v>
      </c>
      <c r="D324" s="56">
        <f t="shared" si="29"/>
        <v>-133389.938302507</v>
      </c>
      <c r="E324" s="56">
        <f t="shared" si="31"/>
        <v>133389.938302507</v>
      </c>
    </row>
    <row r="325" customFormat="1" ht="14.55" spans="1:5">
      <c r="A325" s="57" t="s">
        <v>40</v>
      </c>
      <c r="B325" s="58">
        <v>685379.08</v>
      </c>
      <c r="C325" s="59">
        <v>851738.631983545</v>
      </c>
      <c r="D325" s="59">
        <f t="shared" si="29"/>
        <v>-166359.551983545</v>
      </c>
      <c r="E325" s="59">
        <f t="shared" si="31"/>
        <v>166359.551983545</v>
      </c>
    </row>
  </sheetData>
  <mergeCells count="3">
    <mergeCell ref="A1:D1"/>
    <mergeCell ref="A2:D2"/>
    <mergeCell ref="A4:E4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zoomScale="110" zoomScaleNormal="110" workbookViewId="0">
      <selection activeCell="C17" sqref="C17"/>
    </sheetView>
  </sheetViews>
  <sheetFormatPr defaultColWidth="9" defaultRowHeight="13.8" outlineLevelCol="7"/>
  <cols>
    <col min="1" max="1" width="19.1" customWidth="1"/>
    <col min="2" max="2" width="27.0833333333333" customWidth="1"/>
    <col min="3" max="3" width="51.9166666666667" customWidth="1"/>
    <col min="5" max="5" width="18.1666666666667" customWidth="1"/>
  </cols>
  <sheetData>
    <row r="1" s="10" customFormat="1" ht="21.75" spans="1:8">
      <c r="A1" s="11" t="s">
        <v>0</v>
      </c>
      <c r="B1" s="12"/>
      <c r="C1" s="12"/>
      <c r="D1" s="12"/>
      <c r="E1" s="12"/>
      <c r="F1" s="12"/>
      <c r="G1" s="12"/>
      <c r="H1" s="13"/>
    </row>
    <row r="2" s="10" customFormat="1" ht="15.15" spans="1:8">
      <c r="A2" s="14" t="s">
        <v>188</v>
      </c>
      <c r="B2" s="15"/>
      <c r="C2" s="15"/>
      <c r="D2" s="15"/>
      <c r="E2" s="15"/>
      <c r="F2" s="15"/>
      <c r="G2" s="15"/>
      <c r="H2" s="16"/>
    </row>
    <row r="3" customFormat="1" ht="14.55"/>
    <row r="4" s="10" customFormat="1" ht="15.15" spans="1:8">
      <c r="A4" s="17" t="s">
        <v>189</v>
      </c>
      <c r="B4" s="18"/>
      <c r="C4" s="18"/>
      <c r="D4" s="18"/>
      <c r="E4" s="18"/>
      <c r="F4" s="18"/>
      <c r="G4" s="18"/>
      <c r="H4" s="19"/>
    </row>
    <row r="5" s="10" customFormat="1" ht="15.15" spans="1:8">
      <c r="A5" s="20"/>
      <c r="B5" s="21" t="s">
        <v>190</v>
      </c>
      <c r="C5" s="21"/>
      <c r="D5" s="21"/>
      <c r="E5" s="21"/>
      <c r="F5" s="20"/>
      <c r="G5" s="20"/>
      <c r="H5" s="20"/>
    </row>
    <row r="6" s="10" customFormat="1" ht="15.15" spans="1:8">
      <c r="B6" s="22" t="s">
        <v>191</v>
      </c>
      <c r="C6" s="23" t="s">
        <v>192</v>
      </c>
      <c r="D6" s="24" t="s">
        <v>133</v>
      </c>
      <c r="E6" s="23" t="s">
        <v>193</v>
      </c>
    </row>
    <row r="7" s="10" customFormat="1" ht="14.4" spans="1:8">
      <c r="B7" s="25" t="s">
        <v>194</v>
      </c>
      <c r="C7" s="26" t="s">
        <v>195</v>
      </c>
      <c r="D7" s="27">
        <v>0.167</v>
      </c>
      <c r="E7" s="26" t="s">
        <v>195</v>
      </c>
    </row>
    <row r="8" s="10" customFormat="1" ht="14.4" spans="1:8">
      <c r="B8" s="28" t="s">
        <v>196</v>
      </c>
      <c r="C8" s="29" t="s">
        <v>197</v>
      </c>
      <c r="D8" s="30">
        <v>0.736</v>
      </c>
      <c r="E8" s="29" t="s">
        <v>197</v>
      </c>
    </row>
    <row r="9" s="10" customFormat="1" ht="55.95" spans="1:8">
      <c r="B9" s="31" t="s">
        <v>198</v>
      </c>
      <c r="C9" s="32" t="s">
        <v>199</v>
      </c>
      <c r="D9" s="33">
        <v>0.827</v>
      </c>
      <c r="E9" s="32" t="s">
        <v>200</v>
      </c>
    </row>
    <row r="10" customFormat="1" ht="14.55"/>
    <row r="11" customFormat="1" ht="15.15" spans="1:8">
      <c r="B11" s="34" t="s">
        <v>201</v>
      </c>
      <c r="C11" s="35" t="s">
        <v>140</v>
      </c>
    </row>
    <row r="12" customFormat="1" ht="15.15" spans="1:8">
      <c r="B12" s="36" t="s">
        <v>202</v>
      </c>
      <c r="C12" s="37" t="s">
        <v>198</v>
      </c>
    </row>
  </sheetData>
  <mergeCells count="3">
    <mergeCell ref="A1:H1"/>
    <mergeCell ref="A2:H2"/>
    <mergeCell ref="A4:H4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B21" sqref="B21"/>
    </sheetView>
  </sheetViews>
  <sheetFormatPr defaultColWidth="9" defaultRowHeight="13.8" outlineLevelCol="1"/>
  <cols>
    <col min="1" max="1" width="28" customWidth="1"/>
    <col min="2" max="2" width="120.3" customWidth="1"/>
  </cols>
  <sheetData>
    <row r="1" ht="14.55" spans="1:2">
      <c r="A1" s="1" t="s">
        <v>203</v>
      </c>
      <c r="B1" s="2" t="s">
        <v>204</v>
      </c>
    </row>
    <row r="2" spans="1:2">
      <c r="A2" s="3" t="s">
        <v>2</v>
      </c>
      <c r="B2" s="4" t="s">
        <v>205</v>
      </c>
    </row>
    <row r="3" spans="1:2">
      <c r="A3" s="5" t="s">
        <v>3</v>
      </c>
      <c r="B3" s="6" t="s">
        <v>206</v>
      </c>
    </row>
    <row r="4" spans="1:2">
      <c r="A4" s="5" t="s">
        <v>4</v>
      </c>
      <c r="B4" s="6" t="s">
        <v>207</v>
      </c>
    </row>
    <row r="5" spans="1:2">
      <c r="A5" s="5" t="s">
        <v>5</v>
      </c>
      <c r="B5" s="6" t="s">
        <v>208</v>
      </c>
    </row>
    <row r="6" spans="1:2">
      <c r="A6" s="5" t="s">
        <v>6</v>
      </c>
      <c r="B6" s="6" t="s">
        <v>209</v>
      </c>
    </row>
    <row r="7" spans="1:2">
      <c r="A7" s="5" t="s">
        <v>7</v>
      </c>
      <c r="B7" s="6" t="s">
        <v>210</v>
      </c>
    </row>
    <row r="8" spans="1:2">
      <c r="A8" s="5" t="s">
        <v>8</v>
      </c>
      <c r="B8" s="6" t="s">
        <v>211</v>
      </c>
    </row>
    <row r="9" spans="1:2">
      <c r="A9" s="5" t="s">
        <v>9</v>
      </c>
      <c r="B9" s="6" t="s">
        <v>212</v>
      </c>
    </row>
    <row r="10" spans="1:2">
      <c r="A10" s="5" t="s">
        <v>10</v>
      </c>
      <c r="B10" s="6" t="s">
        <v>213</v>
      </c>
    </row>
    <row r="11" spans="1:2">
      <c r="A11" s="5" t="s">
        <v>11</v>
      </c>
      <c r="B11" s="6" t="s">
        <v>214</v>
      </c>
    </row>
    <row r="12" spans="1:2">
      <c r="A12" s="5" t="s">
        <v>12</v>
      </c>
      <c r="B12" s="6" t="s">
        <v>215</v>
      </c>
    </row>
    <row r="13" spans="1:2">
      <c r="A13" s="5" t="s">
        <v>13</v>
      </c>
      <c r="B13" s="6" t="s">
        <v>216</v>
      </c>
    </row>
    <row r="14" spans="1:2">
      <c r="A14" s="5" t="s">
        <v>14</v>
      </c>
      <c r="B14" s="7" t="s">
        <v>217</v>
      </c>
    </row>
    <row r="15" ht="14.55" spans="1:2">
      <c r="A15" s="8" t="s">
        <v>15</v>
      </c>
      <c r="B15" s="9" t="s">
        <v>218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Original_Data</vt:lpstr>
      <vt:lpstr>Cleaned_Data</vt:lpstr>
      <vt:lpstr>Dummy_Variables</vt:lpstr>
      <vt:lpstr>Simple_regression_1</vt:lpstr>
      <vt:lpstr>Simple_regression_2</vt:lpstr>
      <vt:lpstr>Multiple Regression</vt:lpstr>
      <vt:lpstr>Prediction and residual calcula</vt:lpstr>
      <vt:lpstr>model comparison </vt:lpstr>
      <vt:lpstr>data_dictionary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Nipun Banga</cp:lastModifiedBy>
  <dcterms:created xsi:type="dcterms:W3CDTF">2026-06-27T12:40:00Z</dcterms:created>
  <dcterms:modified xsi:type="dcterms:W3CDTF">2026-06-27T20:04:41Z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218AA7565F69475086DDC4F9E91FA58A_12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